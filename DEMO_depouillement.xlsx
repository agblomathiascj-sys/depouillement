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 brutes" sheetId="1" state="visible" r:id="rId3"/>
    <sheet name="Dictionnaire" sheetId="2" state="visible" r:id="rId4"/>
    <sheet name="Scores recodés" sheetId="3" state="visible" r:id="rId5"/>
    <sheet name="Stats échelles" sheetId="4" state="visible" r:id="rId6"/>
    <sheet name="Stats catégorielles" sheetId="5" state="visible" r:id="rId7"/>
    <sheet name="Synthèse sections" sheetId="6" state="visible" r:id="rId8"/>
    <sheet name="Réponses ouvertes" sheetId="7" state="visible" r:id="rId9"/>
    <sheet name="Contrôles" sheetId="8" state="visible" r:id="rId10"/>
    <sheet name="Graphiques" sheetId="9" state="visible" r:id="rId11"/>
  </sheets>
  <definedNames>
    <definedName function="false" hidden="true" localSheetId="0" name="_xlnm._FilterDatabase" vbProcedure="false">'Données brutes'!$A$1:$CT$46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<sst xmlns="http://schemas.openxmlformats.org/spreadsheetml/2006/main" count="2345" uniqueCount="493">
  <si>
    <t xml:space="preserve">id_questionnaire</t>
  </si>
  <si>
    <t xml:space="preserve">pages_source</t>
  </si>
  <si>
    <t xml:space="preserve">etablissement</t>
  </si>
  <si>
    <t xml:space="preserve">ville</t>
  </si>
  <si>
    <t xml:space="preserve">departement</t>
  </si>
  <si>
    <t xml:space="preserve">type_etablissement</t>
  </si>
  <si>
    <t xml:space="preserve">sexe</t>
  </si>
  <si>
    <t xml:space="preserve">age</t>
  </si>
  <si>
    <t xml:space="preserve">anciennete</t>
  </si>
  <si>
    <t xml:space="preserve">statut</t>
  </si>
  <si>
    <t xml:space="preserve">statut_autre</t>
  </si>
  <si>
    <t xml:space="preserve">diplome_pro</t>
  </si>
  <si>
    <t xml:space="preserve">diplome_academique</t>
  </si>
  <si>
    <t xml:space="preserve">discipline</t>
  </si>
  <si>
    <t xml:space="preserve">discipline_autre</t>
  </si>
  <si>
    <t xml:space="preserve">formation_12mois</t>
  </si>
  <si>
    <t xml:space="preserve">nb_jours_formation</t>
  </si>
  <si>
    <t xml:space="preserve">formation_distance</t>
  </si>
  <si>
    <t xml:space="preserve">satisfaction_distance</t>
  </si>
  <si>
    <t xml:space="preserve">equipements__smartphone</t>
  </si>
  <si>
    <t xml:space="preserve">equipements__ordinateur_tablette</t>
  </si>
  <si>
    <t xml:space="preserve">equipements__connexion_internet_a_domicil</t>
  </si>
  <si>
    <t xml:space="preserve">equipements__aucun_de_ces_equipements</t>
  </si>
  <si>
    <t xml:space="preserve">equipements</t>
  </si>
  <si>
    <t xml:space="preserve">ame_a</t>
  </si>
  <si>
    <t xml:space="preserve">ame_b</t>
  </si>
  <si>
    <t xml:space="preserve">ame_c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</si>
  <si>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</si>
  <si>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</si>
  <si>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</si>
  <si>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</si>
  <si>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</si>
  <si>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</si>
  <si>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q7__ministere</t>
  </si>
  <si>
    <t xml:space="preserve">q7__inspection</t>
  </si>
  <si>
    <t xml:space="preserve">q7__etablissement</t>
  </si>
  <si>
    <t xml:space="preserve">q7__ong_partenaires</t>
  </si>
  <si>
    <t xml:space="preserve">q7__initiative_personnelle</t>
  </si>
  <si>
    <t xml:space="preserve">q7__autre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</si>
  <si>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</si>
  <si>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</si>
  <si>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</si>
  <si>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</si>
  <si>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</si>
  <si>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</si>
  <si>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</si>
  <si>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</si>
  <si>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q15__visite_de_classe_en_situatio</t>
  </si>
  <si>
    <t xml:space="preserve">q15__entretien_individuel_avec_un</t>
  </si>
  <si>
    <t xml:space="preserve">q15__mentorat_tutorat_par_un_pair</t>
  </si>
  <si>
    <t xml:space="preserve">q15__reunion_collective_de_suivi_</t>
  </si>
  <si>
    <t xml:space="preserve">q15__aucun_accompagnement_recu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</si>
  <si>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</si>
  <si>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</si>
  <si>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</si>
  <si>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</si>
  <si>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</si>
  <si>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</si>
  <si>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</si>
  <si>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</si>
  <si>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</si>
  <si>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</si>
  <si>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</si>
  <si>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</si>
  <si>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</si>
  <si>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</si>
  <si>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</si>
  <si>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</si>
  <si>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</si>
  <si>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</si>
  <si>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</si>
  <si>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</si>
  <si>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</si>
  <si>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</si>
  <si>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</si>
  <si>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</si>
  <si>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</si>
  <si>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</si>
  <si>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</si>
  <si>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q42__acces_limite_a_internet</t>
  </si>
  <si>
    <t xml:space="preserve">q42__materiel_insuffisant</t>
  </si>
  <si>
    <t xml:space="preserve">q42__manque_de_competences_numeri</t>
  </si>
  <si>
    <t xml:space="preserve">q42__pas_d_obstacle_majeur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</si>
  <si>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</si>
  <si>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</si>
  <si>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</si>
  <si>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</si>
  <si>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</si>
  <si>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q47</t>
  </si>
  <si>
    <t xml:space="preserve">q48</t>
  </si>
  <si>
    <t xml:space="preserve">q49</t>
  </si>
  <si>
    <t xml:space="preserve">q50a</t>
  </si>
  <si>
    <t xml:space="preserve">q50b</t>
  </si>
  <si>
    <t xml:space="preserve">q50c</t>
  </si>
  <si>
    <t xml:space="preserve">q50d</t>
  </si>
  <si>
    <t xml:space="preserve">a_verifier</t>
  </si>
  <si>
    <t xml:space="preserve">verifie</t>
  </si>
  <si>
    <t xml:space="preserve">remarques</t>
  </si>
  <si>
    <t xml:space="preserve">1-2-3-4</t>
  </si>
  <si>
    <t xml:space="preserve">CEG 1 Porto-Novo</t>
  </si>
  <si>
    <t xml:space="preserve">Cotonou</t>
  </si>
  <si>
    <t xml:space="preserve">ZOU</t>
  </si>
  <si>
    <t xml:space="preserve">Public</t>
  </si>
  <si>
    <t xml:space="preserve">Masculin</t>
  </si>
  <si>
    <t xml:space="preserve">moins de 30 ans</t>
  </si>
  <si>
    <t xml:space="preserve">11-20 ans</t>
  </si>
  <si>
    <t xml:space="preserve">FE</t>
  </si>
  <si>
    <t xml:space="preserve">Maîtrise</t>
  </si>
  <si>
    <t xml:space="preserve">Sciences et Technologies</t>
  </si>
  <si>
    <t xml:space="preserve">Non</t>
  </si>
  <si>
    <t xml:space="preserve">1 à 2 jours</t>
  </si>
  <si>
    <t xml:space="preserve">3</t>
  </si>
  <si>
    <t xml:space="preserve">Aucun de ces équipements | Ordinateur/tablette</t>
  </si>
  <si>
    <t xml:space="preserve">Établissement</t>
  </si>
  <si>
    <t xml:space="preserve">Réunion collective de suivi (conseil d'enseignement, animation pédagogique)</t>
  </si>
  <si>
    <t xml:space="preserve">Jamais</t>
  </si>
  <si>
    <t xml:space="preserve">Parfois</t>
  </si>
  <si>
    <t xml:space="preserve">Matériel insuffisant</t>
  </si>
  <si>
    <t xml:space="preserve">À distance (en ligne)</t>
  </si>
  <si>
    <t xml:space="preserve">Modules répartis sur plusieurs semaines</t>
  </si>
  <si>
    <t xml:space="preserve">Oui, absolument</t>
  </si>
  <si>
    <t xml:space="preserve">Motiver les enseignants et former les encadreurs.</t>
  </si>
  <si>
    <t xml:space="preserve">Manque de moyens et de suivi de proximité.</t>
  </si>
  <si>
    <t xml:space="preserve">5-6-7-8</t>
  </si>
  <si>
    <t xml:space="preserve">CEG 7 Lokossa</t>
  </si>
  <si>
    <t xml:space="preserve">ATACORA</t>
  </si>
  <si>
    <t xml:space="preserve">50 ans et plus</t>
  </si>
  <si>
    <t xml:space="preserve">plus de 20 ans</t>
  </si>
  <si>
    <t xml:space="preserve">AME</t>
  </si>
  <si>
    <t xml:space="preserve">CAPES</t>
  </si>
  <si>
    <t xml:space="preserve">Licence</t>
  </si>
  <si>
    <t xml:space="preserve">6 à 10 jours</t>
  </si>
  <si>
    <t xml:space="preserve">2</t>
  </si>
  <si>
    <t xml:space="preserve">ONG/Partenaires | Autre</t>
  </si>
  <si>
    <t xml:space="preserve">Aucun accompagnement reçu | Réunion collective de suivi (conseil d'enseignement, animation pédagogique)</t>
  </si>
  <si>
    <t xml:space="preserve">1 à 2 fois</t>
  </si>
  <si>
    <t xml:space="preserve">Très souvent</t>
  </si>
  <si>
    <t xml:space="preserve">Manque de compétences numériques</t>
  </si>
  <si>
    <t xml:space="preserve">Présentiel pur</t>
  </si>
  <si>
    <t xml:space="preserve">Formation longue (plusieurs semaines continues)</t>
  </si>
  <si>
    <t xml:space="preserve">Non, pas nécessaire</t>
  </si>
  <si>
    <t xml:space="preserve">oui</t>
  </si>
  <si>
    <t xml:space="preserve">9-10-11-12</t>
  </si>
  <si>
    <t xml:space="preserve">CEG 2 Natitingou</t>
  </si>
  <si>
    <t xml:space="preserve">LITTORAL</t>
  </si>
  <si>
    <t xml:space="preserve">moins de 5 ans</t>
  </si>
  <si>
    <t xml:space="preserve">ACDPE</t>
  </si>
  <si>
    <t xml:space="preserve">Master Pro</t>
  </si>
  <si>
    <t xml:space="preserve">3 à 5 jours</t>
  </si>
  <si>
    <t xml:space="preserve">Oui</t>
  </si>
  <si>
    <t xml:space="preserve">Smartphone | Aucun de ces équipements</t>
  </si>
  <si>
    <t xml:space="preserve">Ministère</t>
  </si>
  <si>
    <t xml:space="preserve">Visite de classe en situation | Aucun accompagnement reçu</t>
  </si>
  <si>
    <t xml:space="preserve">Matériel insuffisant | Manque de compétences numériques</t>
  </si>
  <si>
    <t xml:space="preserve">Une journée complète</t>
  </si>
  <si>
    <t xml:space="preserve">13-14-15-16</t>
  </si>
  <si>
    <t xml:space="preserve">CEG 6 Cotonou</t>
  </si>
  <si>
    <t xml:space="preserve">Abomey</t>
  </si>
  <si>
    <t xml:space="preserve">MONO</t>
  </si>
  <si>
    <t xml:space="preserve">30-39 ans</t>
  </si>
  <si>
    <t xml:space="preserve">5-10 ans</t>
  </si>
  <si>
    <t xml:space="preserve">Master</t>
  </si>
  <si>
    <t xml:space="preserve">5</t>
  </si>
  <si>
    <t xml:space="preserve">Ministère | Autre</t>
  </si>
  <si>
    <t xml:space="preserve">Réunion collective de suivi (conseil d'enseignement, animation pédagogique) | Mentorat/tutorat par un pair</t>
  </si>
  <si>
    <t xml:space="preserve">3 à 5 fois</t>
  </si>
  <si>
    <t xml:space="preserve">Pas d'obstacle majeur</t>
  </si>
  <si>
    <t xml:space="preserve">Autre</t>
  </si>
  <si>
    <t xml:space="preserve">Indifférent</t>
  </si>
  <si>
    <t xml:space="preserve">17-18-19-20</t>
  </si>
  <si>
    <t xml:space="preserve">CEG 5 Abomey</t>
  </si>
  <si>
    <t xml:space="preserve">BORGOU</t>
  </si>
  <si>
    <t xml:space="preserve">Licence Pro</t>
  </si>
  <si>
    <t xml:space="preserve">Connexion Internet à domicile | Smartphone</t>
  </si>
  <si>
    <t xml:space="preserve">Initiative personnelle | ONG/Partenaires</t>
  </si>
  <si>
    <t xml:space="preserve">Entretien individuel avec un encadreur</t>
  </si>
  <si>
    <t xml:space="preserve">Mixte (présentiel + à distance)</t>
  </si>
  <si>
    <t xml:space="preserve">Plutôt oui</t>
  </si>
  <si>
    <t xml:space="preserve">21-22-23-24</t>
  </si>
  <si>
    <t xml:space="preserve">Privé</t>
  </si>
  <si>
    <t xml:space="preserve">Féminin</t>
  </si>
  <si>
    <t xml:space="preserve">40-49 ans</t>
  </si>
  <si>
    <t xml:space="preserve">BAPES</t>
  </si>
  <si>
    <t xml:space="preserve">Sciences Humaines</t>
  </si>
  <si>
    <t xml:space="preserve">Plus de 10 jours</t>
  </si>
  <si>
    <t xml:space="preserve">1</t>
  </si>
  <si>
    <t xml:space="preserve">Ordinateur/tablette | Connexion Internet à domicile</t>
  </si>
  <si>
    <t xml:space="preserve">Ministère | ONG/Partenaires</t>
  </si>
  <si>
    <t xml:space="preserve">Réunion collective de suivi (conseil d'enseignement, animation pédagogique) | Visite de classe en situation</t>
  </si>
  <si>
    <t xml:space="preserve">Souvent</t>
  </si>
  <si>
    <t xml:space="preserve">25-26-27-28</t>
  </si>
  <si>
    <t xml:space="preserve">CEG 8 Cotonou</t>
  </si>
  <si>
    <t xml:space="preserve">Porto-Novo</t>
  </si>
  <si>
    <t xml:space="preserve">OUEME</t>
  </si>
  <si>
    <t xml:space="preserve">Ordinateur/tablette</t>
  </si>
  <si>
    <t xml:space="preserve">Établissement | Inspection</t>
  </si>
  <si>
    <t xml:space="preserve">Entretien individuel avec un encadreur | Visite de classe en situation</t>
  </si>
  <si>
    <t xml:space="preserve">Accès limité à Internet | Matériel insuffisant</t>
  </si>
  <si>
    <t xml:space="preserve">Deux jours consécutifs</t>
  </si>
  <si>
    <t xml:space="preserve">29-30-31-32</t>
  </si>
  <si>
    <t xml:space="preserve">CEG 1 Lokossa</t>
  </si>
  <si>
    <t xml:space="preserve">Connexion Internet à domicile</t>
  </si>
  <si>
    <t xml:space="preserve">ONG/Partenaires</t>
  </si>
  <si>
    <t xml:space="preserve">Mentorat/tutorat par un pair | Aucun accompagnement reçu</t>
  </si>
  <si>
    <t xml:space="preserve">Manque de compétences numériques | Matériel insuffisant</t>
  </si>
  <si>
    <t xml:space="preserve">Plutôt non</t>
  </si>
  <si>
    <t xml:space="preserve">33-34-35-36</t>
  </si>
  <si>
    <t xml:space="preserve">CEG 5 Cotonou</t>
  </si>
  <si>
    <t xml:space="preserve">Lokossa</t>
  </si>
  <si>
    <t xml:space="preserve">Lettres</t>
  </si>
  <si>
    <t xml:space="preserve">Aucun de ces équipements | Connexion Internet à domicile</t>
  </si>
  <si>
    <t xml:space="preserve">37-38-39-40</t>
  </si>
  <si>
    <t xml:space="preserve">Mentorat/tutorat par un pair</t>
  </si>
  <si>
    <t xml:space="preserve">Rarement</t>
  </si>
  <si>
    <t xml:space="preserve">41-42-43-44</t>
  </si>
  <si>
    <t xml:space="preserve">CEG 3 Parakou</t>
  </si>
  <si>
    <t xml:space="preserve">Aucun accompagnement reçu</t>
  </si>
  <si>
    <t xml:space="preserve">Plus de 5 fois</t>
  </si>
  <si>
    <t xml:space="preserve">Pas d'obstacle majeur | Accès limité à Internet</t>
  </si>
  <si>
    <t xml:space="preserve">45-46-47-48</t>
  </si>
  <si>
    <t xml:space="preserve">CEG 8 Abomey</t>
  </si>
  <si>
    <t xml:space="preserve">BAC</t>
  </si>
  <si>
    <t xml:space="preserve">Ordinateur/tablette | Smartphone</t>
  </si>
  <si>
    <t xml:space="preserve">Initiative personnelle | Autre</t>
  </si>
  <si>
    <t xml:space="preserve">Entretien individuel avec un encadreur | Réunion collective de suivi (conseil d'enseignement, animation pédagogique)</t>
  </si>
  <si>
    <t xml:space="preserve">49-50-51-52</t>
  </si>
  <si>
    <t xml:space="preserve">CEG 4 Cotonou</t>
  </si>
  <si>
    <t xml:space="preserve">Parakou</t>
  </si>
  <si>
    <t xml:space="preserve">Initiative personnelle | Inspection</t>
  </si>
  <si>
    <t xml:space="preserve">Accès limité à Internet</t>
  </si>
  <si>
    <t xml:space="preserve">53-54-55-56</t>
  </si>
  <si>
    <t xml:space="preserve">CEG 5 Porto-Novo</t>
  </si>
  <si>
    <t xml:space="preserve">Sans objet</t>
  </si>
  <si>
    <t xml:space="preserve">Connexion Internet à domicile | Ordinateur/tablette</t>
  </si>
  <si>
    <t xml:space="preserve">57-58-59-60</t>
  </si>
  <si>
    <t xml:space="preserve">CEG 7 Porto-Novo</t>
  </si>
  <si>
    <t xml:space="preserve">Aucun de ces équipements | Smartphone</t>
  </si>
  <si>
    <t xml:space="preserve">Autre | Ministère</t>
  </si>
  <si>
    <t xml:space="preserve">Entretien individuel avec un encadreur | Aucun accompagnement reçu</t>
  </si>
  <si>
    <t xml:space="preserve">Manque de compétences numériques | Accès limité à Internet</t>
  </si>
  <si>
    <t xml:space="preserve">61-62-63-64</t>
  </si>
  <si>
    <t xml:space="preserve">CEG 2 Porto-Novo</t>
  </si>
  <si>
    <t xml:space="preserve">Visite de classe en situation | Réunion collective de suivi (conseil d'enseignement, animation pédagogique)</t>
  </si>
  <si>
    <t xml:space="preserve">Accès limité à Internet | Manque de compétences numériques</t>
  </si>
  <si>
    <t xml:space="preserve">65-66-67-68</t>
  </si>
  <si>
    <t xml:space="preserve">CEG 9 Cotonou</t>
  </si>
  <si>
    <t xml:space="preserve">Aucun accompagnement reçu | Mentorat/tutorat par un pair</t>
  </si>
  <si>
    <t xml:space="preserve">69-70-71-72</t>
  </si>
  <si>
    <t xml:space="preserve">CEG 9 Abomey</t>
  </si>
  <si>
    <t xml:space="preserve">Pas d'obstacle majeur | Matériel insuffisant</t>
  </si>
  <si>
    <t xml:space="preserve">73-74-75-76</t>
  </si>
  <si>
    <t xml:space="preserve">CEG 7 Abomey</t>
  </si>
  <si>
    <t xml:space="preserve">Inspection | Autre</t>
  </si>
  <si>
    <t xml:space="preserve">77-78-79-80</t>
  </si>
  <si>
    <t xml:space="preserve">CEG 3 Lokossa</t>
  </si>
  <si>
    <t xml:space="preserve">Smartphone</t>
  </si>
  <si>
    <t xml:space="preserve">ONG/Partenaires | Ministère</t>
  </si>
  <si>
    <t xml:space="preserve">Visite de classe en situation</t>
  </si>
  <si>
    <t xml:space="preserve">81-82-83-84</t>
  </si>
  <si>
    <t xml:space="preserve">CEG 8 Parakou</t>
  </si>
  <si>
    <t xml:space="preserve">Inspection | ONG/Partenaires</t>
  </si>
  <si>
    <t xml:space="preserve">Aucun accompagnement reçu | Visite de classe en situation</t>
  </si>
  <si>
    <t xml:space="preserve">85-86-87-88</t>
  </si>
  <si>
    <t xml:space="preserve">CEG 3 Porto-Novo</t>
  </si>
  <si>
    <t xml:space="preserve">89-90-91-92</t>
  </si>
  <si>
    <t xml:space="preserve">CEG 8 Natitingou</t>
  </si>
  <si>
    <t xml:space="preserve">93-94-95-96</t>
  </si>
  <si>
    <t xml:space="preserve">CEG 4 Parakou</t>
  </si>
  <si>
    <t xml:space="preserve">Aucun de ces équipements</t>
  </si>
  <si>
    <t xml:space="preserve">Entretien individuel avec un encadreur | Mentorat/tutorat par un pair</t>
  </si>
  <si>
    <t xml:space="preserve">97-98-99-100</t>
  </si>
  <si>
    <t xml:space="preserve">CEG 1 Natitingou</t>
  </si>
  <si>
    <t xml:space="preserve">Matériel insuffisant | Pas d'obstacle majeur</t>
  </si>
  <si>
    <t xml:space="preserve">101-102-103-104</t>
  </si>
  <si>
    <t xml:space="preserve">Initiative personnelle | Établissement</t>
  </si>
  <si>
    <t xml:space="preserve">105-106-107-108</t>
  </si>
  <si>
    <t xml:space="preserve">Initiative personnelle</t>
  </si>
  <si>
    <t xml:space="preserve">109-110-111-112</t>
  </si>
  <si>
    <t xml:space="preserve">CEG 9 Natitingou</t>
  </si>
  <si>
    <t xml:space="preserve">Smartphone | Connexion Internet à domicile</t>
  </si>
  <si>
    <t xml:space="preserve">113-114-115-116</t>
  </si>
  <si>
    <t xml:space="preserve">117-118-119-120</t>
  </si>
  <si>
    <t xml:space="preserve">4</t>
  </si>
  <si>
    <t xml:space="preserve">Manque de compétences numériques | Pas d'obstacle majeur</t>
  </si>
  <si>
    <t xml:space="preserve">121-122-123-124</t>
  </si>
  <si>
    <t xml:space="preserve">CEG 2 Lokossa</t>
  </si>
  <si>
    <t xml:space="preserve">125-126-127-128</t>
  </si>
  <si>
    <t xml:space="preserve">CEG 6 Abomey</t>
  </si>
  <si>
    <t xml:space="preserve">Ministère | Initiative personnelle</t>
  </si>
  <si>
    <t xml:space="preserve">Réunion collective de suivi (conseil d'enseignement, animation pédagogique) | Entretien individuel avec un encadreur</t>
  </si>
  <si>
    <t xml:space="preserve">129-130-131-132</t>
  </si>
  <si>
    <t xml:space="preserve">Natitingou</t>
  </si>
  <si>
    <t xml:space="preserve">133-134-135-136</t>
  </si>
  <si>
    <t xml:space="preserve">137-138-139-140</t>
  </si>
  <si>
    <t xml:space="preserve">141-142-143-144</t>
  </si>
  <si>
    <t xml:space="preserve">CEG 2 Cotonou</t>
  </si>
  <si>
    <t xml:space="preserve">145-146-147-148</t>
  </si>
  <si>
    <t xml:space="preserve">Ministère | Établissement</t>
  </si>
  <si>
    <t xml:space="preserve">Pas d'obstacle majeur | Manque de compétences numériques</t>
  </si>
  <si>
    <t xml:space="preserve">149-150-151-152</t>
  </si>
  <si>
    <t xml:space="preserve">CEG 6 Natitingou</t>
  </si>
  <si>
    <t xml:space="preserve">Établissement | ONG/Partenaires</t>
  </si>
  <si>
    <t xml:space="preserve">Réunion collective de suivi (conseil d'enseignement, animation pédagogique) | Aucun accompagnement reçu</t>
  </si>
  <si>
    <t xml:space="preserve">153-154-155-156</t>
  </si>
  <si>
    <t xml:space="preserve">157-158-159-160</t>
  </si>
  <si>
    <t xml:space="preserve">CEG 2 Parakou</t>
  </si>
  <si>
    <t xml:space="preserve">Inspection | Initiative personnelle</t>
  </si>
  <si>
    <t xml:space="preserve">Matériel insuffisant | Accès limité à Internet</t>
  </si>
  <si>
    <t xml:space="preserve">161-162-163-164</t>
  </si>
  <si>
    <t xml:space="preserve">CEG 3 Cotonou</t>
  </si>
  <si>
    <t xml:space="preserve">Établissement | Initiative personnelle</t>
  </si>
  <si>
    <t xml:space="preserve">165-166-167-168</t>
  </si>
  <si>
    <t xml:space="preserve">Inspection</t>
  </si>
  <si>
    <t xml:space="preserve">169-170-171-172</t>
  </si>
  <si>
    <t xml:space="preserve">CEG 6 Lokossa</t>
  </si>
  <si>
    <t xml:space="preserve">173-174-175-176</t>
  </si>
  <si>
    <t xml:space="preserve">177-178-179-180</t>
  </si>
  <si>
    <t xml:space="preserve">Smartphone | Ordinateur/tablette</t>
  </si>
  <si>
    <t xml:space="preserve">Code</t>
  </si>
  <si>
    <t xml:space="preserve">Libellé de la question / affirmation</t>
  </si>
  <si>
    <t xml:space="preserve">Section</t>
  </si>
  <si>
    <t xml:space="preserve">Page</t>
  </si>
  <si>
    <t xml:space="preserve">Type</t>
  </si>
  <si>
    <t xml:space="preserve">Modalités</t>
  </si>
  <si>
    <t xml:space="preserve">Item inversé</t>
  </si>
  <si>
    <t xml:space="preserve">I. Informations générales</t>
  </si>
  <si>
    <t xml:space="preserve">texte</t>
  </si>
  <si>
    <t xml:space="preserve">Ville</t>
  </si>
  <si>
    <t xml:space="preserve">Département</t>
  </si>
  <si>
    <t xml:space="preserve">Type d'établissement</t>
  </si>
  <si>
    <t xml:space="preserve">choix unique</t>
  </si>
  <si>
    <t xml:space="preserve">Public / Privé</t>
  </si>
  <si>
    <t xml:space="preserve">Sexe</t>
  </si>
  <si>
    <t xml:space="preserve">Masculin / Féminin</t>
  </si>
  <si>
    <t xml:space="preserve">Âge</t>
  </si>
  <si>
    <t xml:space="preserve">moins de 30 ans / 30-39 ans / 40-49 ans / 50 ans et plus</t>
  </si>
  <si>
    <t xml:space="preserve">Ancienneté dans l'enseignement</t>
  </si>
  <si>
    <t xml:space="preserve">moins de 5 ans / 5-10 ans / 11-20 ans / plus de 20 ans</t>
  </si>
  <si>
    <t xml:space="preserve">Statut professionnel</t>
  </si>
  <si>
    <t xml:space="preserve">FE / ACDPE / AME / Autre</t>
  </si>
  <si>
    <t xml:space="preserve">Statut professionnel — précision « Autre »</t>
  </si>
  <si>
    <t xml:space="preserve">Diplôme professionnel</t>
  </si>
  <si>
    <t xml:space="preserve">CAPES / BAPES / Licence Pro / Master Pro</t>
  </si>
  <si>
    <t xml:space="preserve">Diplôme académique</t>
  </si>
  <si>
    <t xml:space="preserve">BAC / Licence / Maîtrise / Master</t>
  </si>
  <si>
    <t xml:space="preserve">Discipline enseignée (groupe)</t>
  </si>
  <si>
    <t xml:space="preserve">Lettres / Sciences et Technologies / Sciences Humaines / Autre</t>
  </si>
  <si>
    <t xml:space="preserve">Discipline — précision « Autre »</t>
  </si>
  <si>
    <t xml:space="preserve">Avez-vous participé à au moins une activité de formation continue au cours des 12 derniers mois ?</t>
  </si>
  <si>
    <t xml:space="preserve">Oui / Non</t>
  </si>
  <si>
    <t xml:space="preserve">Si oui, combien de jours de formation avez-vous suivis (cumulés) ?</t>
  </si>
  <si>
    <t xml:space="preserve">1 à 2 jours / 3 à 5 jours / 6 à 10 jours / Plus de 10 jours</t>
  </si>
  <si>
    <t xml:space="preserve">Avez-vous déjà suivi une formation à distance ou hybride, même partiellement ?</t>
  </si>
  <si>
    <t xml:space="preserve">Si oui, niveau de satisfaction globale vis-à-vis de cette expérience</t>
  </si>
  <si>
    <t xml:space="preserve">1 / 2 / 3 / 4 / 5 / Sans objet</t>
  </si>
  <si>
    <t xml:space="preserve">Quel(s) équipement(s) personnel(s) utilisez-vous ou pourriez-vous utiliser pour vous former ?</t>
  </si>
  <si>
    <t xml:space="preserve">choix multiple</t>
  </si>
  <si>
    <t xml:space="preserve">Smartphone / Ordinateur/tablette / Connexion Internet à domicile / Aucun de ces équipements</t>
  </si>
  <si>
    <t xml:space="preserve">Je me sens suffisamment accompagné(e) dans mon insertion professionnelle en tant qu'AME.</t>
  </si>
  <si>
    <t xml:space="preserve">I bis. Volet spécifique AME</t>
  </si>
  <si>
    <t xml:space="preserve">échelle 1-5</t>
  </si>
  <si>
    <t xml:space="preserve">1=Pas du tout d'accord / 2=Peu d'accord / 3=Neutre / 4=D'accord / 5=Tout à fait d'accord</t>
  </si>
  <si>
    <t xml:space="preserve">Mon statut d'AME limite mon accès aux mêmes formations que les enseignants titulaires.</t>
  </si>
  <si>
    <t xml:space="preserve">Un accompagnement spécifique aux AME, au-delà des formations générales, serait utile à mon intégration professionnelle.</t>
  </si>
  <si>
    <t xml:space="preserve">Je suis régulièrement informé à l'avance des opportunités de formation.</t>
  </si>
  <si>
    <t xml:space="preserve">II. Politique et organisation de la formation continue</t>
  </si>
  <si>
    <t xml:space="preserve">Les formations sont organisées de façon ponctuelle, sans continuité dans l'année.</t>
  </si>
  <si>
    <t xml:space="preserve">Les thèmes de formation sont choisis sans me consulter (décision descendante).</t>
  </si>
  <si>
    <t xml:space="preserve">Les Animations Pédagogiques de Zone (APZ) répondent à mes besoins réels.</t>
  </si>
  <si>
    <t xml:space="preserve">Les Animations Pédagogiques d'Établissement (APE/APH) sont utiles pour ma pratique quotidienne.</t>
  </si>
  <si>
    <t xml:space="preserve">Les formations dépendent trop de projets extérieurs (ONG, bailleurs, projets temporaires).</t>
  </si>
  <si>
    <t xml:space="preserve">Qui initie généralement les formations que vous suivez ?</t>
  </si>
  <si>
    <t xml:space="preserve">Ministère / Inspection / Établissement / ONG/Partenaires / Initiative personnelle / Autre</t>
  </si>
  <si>
    <t xml:space="preserve">Les formations répondent à mes besoins réels rencontrés en classe.</t>
  </si>
  <si>
    <t xml:space="preserve">III. Pertinence, approche pédagogique et réflexivité</t>
  </si>
  <si>
    <t xml:space="preserve">Les contenus sont trop théoriques et éloignés de ma réalité de terrain.</t>
  </si>
  <si>
    <t xml:space="preserve">Les formations sont adaptées à l'Approche Par Compétences (APC) attendue dans les programmes.</t>
  </si>
  <si>
    <t xml:space="preserve">Les formateurs valorisent mon expérience professionnelle.</t>
  </si>
  <si>
    <t xml:space="preserve">On utilise des méthodes actives (ateliers, études de cas, résolution de problèmes) pendant les formations.</t>
  </si>
  <si>
    <t xml:space="preserve">Je repars avec des outils ou fiches pratiques immédiatement utilisables en classe.</t>
  </si>
  <si>
    <t xml:space="preserve">Les formations m'amènent à analyser et réfléchir sur ma propre pratique de classe.</t>
  </si>
  <si>
    <t xml:space="preserve">Quelle(s) forme(s) d'accompagnement avez-vous reçue(s) après vos dernières formations ?</t>
  </si>
  <si>
    <t xml:space="preserve">IV. Pratiques réelles d'accompagnement</t>
  </si>
  <si>
    <t xml:space="preserve">Visite de classe en situation / Entretien individuel avec un encadreur / Mentorat/tutorat par un pair / Réunion collective de suivi (conseil d'enseignement, animation pédagogique) / Aucun accompagnement reçu</t>
  </si>
  <si>
    <t xml:space="preserve">À quelle fréquence avez-vous bénéficié d'un accompagnement de proximité au cours de la dernière année scolaire ?</t>
  </si>
  <si>
    <t xml:space="preserve">Jamais / 1 à 2 fois / 3 à 5 fois / Plus de 5 fois</t>
  </si>
  <si>
    <t xml:space="preserve">Un suivi rigoureux est assuré après chaque formation (visite en classe, entretien individuel).</t>
  </si>
  <si>
    <t xml:space="preserve">Je bénéficie d'un accompagnement de proximité (conseiller pédagogique, tuteur, pair mentor).</t>
  </si>
  <si>
    <t xml:space="preserve">Les inspecteurs ou encadreurs assurent un suivi efficace après la formation.</t>
  </si>
  <si>
    <t xml:space="preserve">Les effets des formations sur les apprentissages des élèves sont régulièrement évalués.</t>
  </si>
  <si>
    <t xml:space="preserve">Sans accompagnement post-formation, j'ai du mal à mettre en œuvre ce que j'ai appris.</t>
  </si>
  <si>
    <t xml:space="preserve">Un système de tutorat ou mentorat entre enseignants serait utile.</t>
  </si>
  <si>
    <t xml:space="preserve">L'accompagnement reçu porte sur des éléments concrets de ma pratique de classe, et non sur de simples formalités administratives.</t>
  </si>
  <si>
    <t xml:space="preserve">Les acteurs chargés de m'accompagner (inspecteur, conseiller pédagogique, pair mentor) sont clairement identifiés et disponibles.</t>
  </si>
  <si>
    <t xml:space="preserve">Ma charge de travail limite fortement ma participation aux formations.</t>
  </si>
  <si>
    <t xml:space="preserve">V. Contraintes et obstacles majeurs</t>
  </si>
  <si>
    <t xml:space="preserve">Les contraintes financières (transport, frais divers) freinent mon accès aux formations.</t>
  </si>
  <si>
    <t xml:space="preserve">Le manque de moyens matériels (salles, équipements, documents) est un frein important.</t>
  </si>
  <si>
    <t xml:space="preserve">L'éloignement géographique des lieux de formation est un obstacle majeur.</t>
  </si>
  <si>
    <t xml:space="preserve">Le manque de motivation personnelle ou collective impacte mon engagement.</t>
  </si>
  <si>
    <t xml:space="preserve">Les animateurs ou formateurs sont parfois insuffisamment formés.</t>
  </si>
  <si>
    <t xml:space="preserve">Le message des formations est déformé ou affaibli lorsqu'il passe de l'inspecteur au conseiller pédagogique puis à moi.</t>
  </si>
  <si>
    <t xml:space="preserve">La formation continue actuelle produit des changements durables dans ma pratique enseignante.</t>
  </si>
  <si>
    <t xml:space="preserve">VI. Développement professionnel durable</t>
  </si>
  <si>
    <t xml:space="preserve">Les formations ne dépendent pas uniquement de projets temporaires (elles pourraient continuer sans eux).</t>
  </si>
  <si>
    <t xml:space="preserve">La formation continue contribue réellement à un enseignement de qualité.</t>
  </si>
  <si>
    <t xml:space="preserve">Je me sens capable d'adapter ma pratique sans accompagnement extérieur après une formation.</t>
  </si>
  <si>
    <t xml:space="preserve">Les formations intègrent efficacement les outils numériques (TIC, plateformes, ressources en ligne).</t>
  </si>
  <si>
    <t xml:space="preserve">VII. Numérique, évaluation des formateurs et auto-évaluation</t>
  </si>
  <si>
    <t xml:space="preserve">J'ai accès à des ressources numériques pour me former.</t>
  </si>
  <si>
    <t xml:space="preserve">Les formateurs sont qualifiés pour les contenus qu'ils dispensent.</t>
  </si>
  <si>
    <t xml:space="preserve">Je peux évaluer anonymement les formateurs après chaque session.</t>
  </si>
  <si>
    <t xml:space="preserve">Je pratique une auto-évaluation régulière de mes compétences après les formations.</t>
  </si>
  <si>
    <t xml:space="preserve">À quelle fréquence utilisez-vous le numérique pour vous former ?</t>
  </si>
  <si>
    <t xml:space="preserve">Jamais / Rarement / Parfois / Souvent / Très souvent</t>
  </si>
  <si>
    <t xml:space="preserve">Quels obstacles numériques rencontrez-vous ?</t>
  </si>
  <si>
    <t xml:space="preserve">Accès limité à Internet / Matériel insuffisant / Manque de compétences numériques / Pas d'obstacle majeur</t>
  </si>
  <si>
    <t xml:space="preserve">Je me sens capable d'utiliser seul(e) une plateforme de formation en ligne.</t>
  </si>
  <si>
    <t xml:space="preserve">VIII. Conditions technologiques (hybride / à distance)</t>
  </si>
  <si>
    <t xml:space="preserve">Je suis à l'aise pour suivre un module de formation à distance sans accompagnement présentiel.</t>
  </si>
  <si>
    <t xml:space="preserve">Une formation hybride (présentiel + distanciel) serait adaptée à mes conditions de travail actuelles.</t>
  </si>
  <si>
    <t xml:space="preserve">Je serais prêt(e) à m'investir activement dans un dispositif de formation hybride si celui-ci était mis en place.</t>
  </si>
  <si>
    <t xml:space="preserve">Quel type de formation préférez-vous ?</t>
  </si>
  <si>
    <t xml:space="preserve">IX. Perspectives, modalités souhaitées et propositions</t>
  </si>
  <si>
    <t xml:space="preserve">Présentiel pur / À distance (en ligne) / Mixte (présentiel + à distance) / Autre</t>
  </si>
  <si>
    <t xml:space="preserve">Quelle durée de formation préférez-vous ?</t>
  </si>
  <si>
    <t xml:space="preserve">Une journée complète / Deux jours consécutifs / Modules répartis sur plusieurs semaines / Formation longue (plusieurs semaines continues)</t>
  </si>
  <si>
    <t xml:space="preserve">Souhaitez-vous un système de tutorat post-formation ?</t>
  </si>
  <si>
    <t xml:space="preserve">Oui, absolument / Plutôt oui / Indifférent / Plutôt non / Non, pas nécessaire</t>
  </si>
  <si>
    <t xml:space="preserve">Principal obstacle actuel à un accompagnement réel et efficace des enseignants au Bénin</t>
  </si>
  <si>
    <t xml:space="preserve">Amélioration concrète et prioritaire proposée pour rapprocher les dispositifs prescrits des pratiques réelles</t>
  </si>
  <si>
    <t xml:space="preserve">Enjeu principal que l'accompagnement des enseignants doit absolument résoudre</t>
  </si>
  <si>
    <t xml:space="preserve">Conditions pour que la formation à distance/hybride devienne un levier crédible</t>
  </si>
  <si>
    <t xml:space="preserve">Score I bis</t>
  </si>
  <si>
    <t xml:space="preserve">Score II</t>
  </si>
  <si>
    <t xml:space="preserve">Score III</t>
  </si>
  <si>
    <t xml:space="preserve">Score IV</t>
  </si>
  <si>
    <t xml:space="preserve">Score V</t>
  </si>
  <si>
    <t xml:space="preserve">Score VI</t>
  </si>
  <si>
    <t xml:space="preserve">Score VII</t>
  </si>
  <si>
    <t xml:space="preserve">Score VIII</t>
  </si>
  <si>
    <t xml:space="preserve">Score global</t>
  </si>
  <si>
    <t xml:space="preserve">Affirmation</t>
  </si>
  <si>
    <t xml:space="preserve">Inversé</t>
  </si>
  <si>
    <t xml:space="preserve">N</t>
  </si>
  <si>
    <t xml:space="preserve">Moyenne</t>
  </si>
  <si>
    <t xml:space="preserve">Écart-type</t>
  </si>
  <si>
    <t xml:space="preserve">Médiane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</si>
  <si>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</si>
  <si>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</si>
  <si>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</si>
  <si>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</si>
  <si>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</si>
  <si>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%1</t>
  </si>
  <si>
    <t xml:space="preserve">%2</t>
  </si>
  <si>
    <t xml:space="preserve">%3</t>
  </si>
  <si>
    <t xml:space="preserve">%4</t>
  </si>
  <si>
    <t xml:space="preserve">%5</t>
  </si>
  <si>
    <t xml:space="preserve">% accord (4-5)</t>
  </si>
  <si>
    <t xml:space="preserve">% désaccord (1-2)</t>
  </si>
  <si>
    <t xml:space="preserve">% neutre (3)</t>
  </si>
  <si>
    <t xml:space="preserve">Non-réponses</t>
  </si>
  <si>
    <t xml:space="preserve">Variable</t>
  </si>
  <si>
    <t xml:space="preserve">Question</t>
  </si>
  <si>
    <t xml:space="preserve">Modalité</t>
  </si>
  <si>
    <t xml:space="preserve">Effectif</t>
  </si>
  <si>
    <t xml:space="preserve">Pourcentage</t>
  </si>
  <si>
    <t xml:space="preserve">Nb d'items</t>
  </si>
  <si>
    <t xml:space="preserve">Score moyen (1-5)</t>
  </si>
  <si>
    <t xml:space="preserve">N répondants</t>
  </si>
  <si>
    <t xml:space="preserve">Alpha de Cronbach</t>
  </si>
  <si>
    <t xml:space="preserve">Les scores sont calculés après recodage des items inversés (6 - x) : un score élevé va toujours dans le sens favorable.</t>
  </si>
  <si>
    <t xml:space="preserve">L'alpha de Cronbach est calculé en Python au moment de l'export (sur les répondants sans donnée manquante) et ne se recalcule pas dans Excel : relance etape4_exporter.py après correction.</t>
  </si>
  <si>
    <t xml:space="preserve">Contrôle</t>
  </si>
  <si>
    <t xml:space="preserve">Nb concernés</t>
  </si>
  <si>
    <t xml:space="preserve">Questionnaires concernés</t>
  </si>
  <si>
    <t xml:space="preserve">Volet AME rempli alors que le statut n'est pas AME</t>
  </si>
  <si>
    <t xml:space="preserve">Statut AME mais volet AME vide</t>
  </si>
  <si>
    <t xml:space="preserve">Pas de formation en 12 mois mais nombre de jours renseigné</t>
  </si>
  <si>
    <t xml:space="preserve">1, 2, 4, 6, 8, 10, 11, 12, 15, 16, 19, 20, 22, 23, 25, 26, 28, 29, 30, 32, 36, 37, 39</t>
  </si>
  <si>
    <t xml:space="preserve">Pas de formation à distance mais satisfaction renseignée</t>
  </si>
  <si>
    <t xml:space="preserve">1, 2, 5, 6, 7, 9, 10, 13, 15, 16, 19, 20, 21, 22, 23, 29, 33, 34, 39, 40, 41, 43</t>
  </si>
  <si>
    <t xml:space="preserve">« Aucun accompagnement reçu » coché avec d'autres modalités (q15)</t>
  </si>
  <si>
    <t xml:space="preserve">2, 3, 8, 13, 15, 17, 21, 26, 31, 35, 38, 42, 43</t>
  </si>
  <si>
    <t xml:space="preserve">« Pas d'obstacle majeur » coché avec d'autres obstacles (q42)</t>
  </si>
  <si>
    <t xml:space="preserve">11, 18, 25, 30, 36, 37, 38, 41, 43</t>
  </si>
  <si>
    <t xml:space="preserve">Plus de 20 % des items d'échelle sans réponse</t>
  </si>
  <si>
    <t xml:space="preserve">Signalé « à vérifier » par la lecture automatique</t>
  </si>
  <si>
    <t xml:space="preserve">2, 3, 4, 5, 6, 8, 10, 13, 14, 17, 20, 21, 24, 25, 26, 28, 30, 31, 32, 33, 34, 35, 36, 37, 38, 40, 41, 42</t>
  </si>
  <si>
    <t xml:space="preserve">Non validé manuellement (étape 3)</t>
  </si>
  <si>
    <t xml:space="preserve">1, 2, 3, 4, 5, 6, 7, 8, 9, 10, 11, 12, 13, 14, 15, 16, 17, 18, 19, 20, 21, 22, 23, 24, 25, 26, 27, 28, 29, 30, 31, 32, 33, 34, 35, 36, 37, 38, 39, 40, 41, 42, 43, 44, 45</t>
  </si>
  <si>
    <t xml:space="preserve">Questionnaires exclus (illisibles) : 0</t>
  </si>
  <si>
    <t xml:space="preserve">Questionnaires non vérifiés au moment de l'export : 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</si>
</sst>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moyen par affirmation (1 = pas du tout d'accord, 5 = tout à fait)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'Stats échelles'!F1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échelles'!$C$2:$C$45</c:f>
              <c:strCache>
                <c:ptCount val="44"/>
                <c:pt idx="0">
                  <c:v>Je me sens suffisamment accompagné(e) dans mon insertion professionnelle en tant qu'AME.</c:v>
                </c:pt>
                <c:pt idx="1">
                  <c:v>Mon statut d'AME limite mon accès aux mêmes formations que les enseignants titulaires.</c:v>
                </c:pt>
                <c:pt idx="2">
                  <c:v>Un accompagnement spécifique aux AME, au-delà des formations générales, serait utile à mon intégration professionnelle.</c:v>
                </c:pt>
                <c:pt idx="3">
                  <c:v>Je suis régulièrement informé à l'avance des opportunités de formation.</c:v>
                </c:pt>
                <c:pt idx="4">
                  <c:v>Les formations sont organisées de façon ponctuelle, sans continuité dans l'année.</c:v>
                </c:pt>
                <c:pt idx="5">
                  <c:v>Les thèmes de formation sont choisis sans me consulter (décision descendante).</c:v>
                </c:pt>
                <c:pt idx="6">
                  <c:v>Les Animations Pédagogiques de Zone (APZ) répondent à mes besoins réels.</c:v>
                </c:pt>
                <c:pt idx="7">
                  <c:v>Les Animations Pédagogiques d'Établissement (APE/APH) sont utiles pour ma pratique quotidienne.</c:v>
                </c:pt>
                <c:pt idx="8">
                  <c:v>Les formations dépendent trop de projets extérieurs (ONG, bailleurs, projets temporaires).</c:v>
                </c:pt>
                <c:pt idx="9">
                  <c:v>Les formations répondent à mes besoins réels rencontrés en classe.</c:v>
                </c:pt>
                <c:pt idx="10">
                  <c:v>Les contenus sont trop théoriques et éloignés de ma réalité de terrain.</c:v>
                </c:pt>
                <c:pt idx="11">
                  <c:v>Les formations sont adaptées à l'Approche Par Compétences (APC) attendue dans les programmes.</c:v>
                </c:pt>
                <c:pt idx="12">
                  <c:v>Les formateurs valorisent mon expérience professionnelle.</c:v>
                </c:pt>
                <c:pt idx="13">
                  <c:v>On utilise des méthodes actives (ateliers, études de cas, résolution de problèmes) pendant les formations.</c:v>
                </c:pt>
                <c:pt idx="14">
                  <c:v>Je repars avec des outils ou fiches pratiques immédiatement utilisables en classe.</c:v>
                </c:pt>
                <c:pt idx="15">
                  <c:v>Les formations m'amènent à analyser et réfléchir sur ma propre pratique de classe.</c:v>
                </c:pt>
                <c:pt idx="16">
                  <c:v>Un suivi rigoureux est assuré après chaque formation (visite en classe, entretien individuel).</c:v>
                </c:pt>
                <c:pt idx="17">
                  <c:v>Je bénéficie d'un accompagnement de proximité (conseiller pédagogique, tuteur, pair mentor).</c:v>
                </c:pt>
                <c:pt idx="18">
                  <c:v>Les inspecteurs ou encadreurs assurent un suivi efficace après la formation.</c:v>
                </c:pt>
                <c:pt idx="19">
                  <c:v>Les effets des formations sur les apprentissages des élèves sont régulièrement évalués.</c:v>
                </c:pt>
                <c:pt idx="20">
                  <c:v>Sans accompagnement post-formation, j'ai du mal à mettre en œuvre ce que j'ai appris.</c:v>
                </c:pt>
                <c:pt idx="21">
                  <c:v>Un système de tutorat ou mentorat entre enseignants serait utile.</c:v>
                </c:pt>
                <c:pt idx="22">
                  <c:v>L'accompagnement reçu porte sur des éléments concrets de ma pratique de classe, et non sur de simples formalités administratives.</c:v>
                </c:pt>
                <c:pt idx="23">
                  <c:v>Les acteurs chargés de m'accompagner (inspecteur, conseiller pédagogique, pair mentor) sont clairement identifiés et disponibles.</c:v>
                </c:pt>
                <c:pt idx="24">
                  <c:v>Ma charge de travail limite fortement ma participation aux formations.</c:v>
                </c:pt>
                <c:pt idx="25">
                  <c:v>Les contraintes financières (transport, frais divers) freinent mon accès aux formations.</c:v>
                </c:pt>
                <c:pt idx="26">
                  <c:v>Le manque de moyens matériels (salles, équipements, documents) est un frein important.</c:v>
                </c:pt>
                <c:pt idx="27">
                  <c:v>L'éloignement géographique des lieux de formation est un obstacle majeur.</c:v>
                </c:pt>
                <c:pt idx="28">
                  <c:v>Le manque de motivation personnelle ou collective impacte mon engagement.</c:v>
                </c:pt>
                <c:pt idx="29">
                  <c:v>Les animateurs ou formateurs sont parfois insuffisamment formés.</c:v>
                </c:pt>
                <c:pt idx="30">
                  <c:v>Le message des formations est déformé ou affaibli lorsqu'il passe de l'inspecteur au conseiller pédagogique puis à moi.</c:v>
                </c:pt>
                <c:pt idx="31">
                  <c:v>La formation continue actuelle produit des changements durables dans ma pratique enseignante.</c:v>
                </c:pt>
                <c:pt idx="32">
                  <c:v>Les formations ne dépendent pas uniquement de projets temporaires (elles pourraient continuer sans eux).</c:v>
                </c:pt>
                <c:pt idx="33">
                  <c:v>La formation continue contribue réellement à un enseignement de qualité.</c:v>
                </c:pt>
                <c:pt idx="34">
                  <c:v>Je me sens capable d'adapter ma pratique sans accompagnement extérieur après une formation.</c:v>
                </c:pt>
                <c:pt idx="35">
                  <c:v>Les formations intègrent efficacement les outils numériques (TIC, plateformes, ressources en ligne).</c:v>
                </c:pt>
                <c:pt idx="36">
                  <c:v>J'ai accès à des ressources numériques pour me former.</c:v>
                </c:pt>
                <c:pt idx="37">
                  <c:v>Les formateurs sont qualifiés pour les contenus qu'ils dispensent.</c:v>
                </c:pt>
                <c:pt idx="38">
                  <c:v>Je peux évaluer anonymement les formateurs après chaque session.</c:v>
                </c:pt>
                <c:pt idx="39">
                  <c:v>Je pratique une auto-évaluation régulière de mes compétences après les formations.</c:v>
                </c:pt>
                <c:pt idx="40">
                  <c:v>Je me sens capable d'utiliser seul(e) une plateforme de formation en ligne.</c:v>
                </c:pt>
                <c:pt idx="41">
                  <c:v>Je suis à l'aise pour suivre un module de formation à distance sans accompagnement présentiel.</c:v>
                </c:pt>
                <c:pt idx="42">
                  <c:v>Une formation hybride (présentiel + distanciel) serait adaptée à mes conditions de travail actuelles.</c:v>
                </c:pt>
                <c:pt idx="43">
                  <c:v>Je serais prêt(e) à m'investir activement dans un dispositif de formation hybride si celui-ci était mis en place.</c:v>
                </c:pt>
              </c:strCache>
            </c:strRef>
          </c:cat>
          <c:val>
            <c:numRef>
              <c:f>'Stats échelles'!$F$2:$F$45</c:f>
              <c:numCache>
                <c:formatCode>0.00</c:formatCode>
                <c:ptCount val="44"/>
                <c:pt idx="0">
                  <c:v>3.0952380952381</c:v>
                </c:pt>
                <c:pt idx="1">
                  <c:v>3.31818181818182</c:v>
                </c:pt>
                <c:pt idx="2">
                  <c:v>3.42857142857143</c:v>
                </c:pt>
                <c:pt idx="3">
                  <c:v>3.29545454545455</c:v>
                </c:pt>
                <c:pt idx="4">
                  <c:v>3.41860465116279</c:v>
                </c:pt>
                <c:pt idx="5">
                  <c:v>3.27272727272727</c:v>
                </c:pt>
                <c:pt idx="6">
                  <c:v>3.36363636363636</c:v>
                </c:pt>
                <c:pt idx="7">
                  <c:v>2.93181818181818</c:v>
                </c:pt>
                <c:pt idx="8">
                  <c:v>3.23809523809524</c:v>
                </c:pt>
                <c:pt idx="9">
                  <c:v>3.21428571428571</c:v>
                </c:pt>
                <c:pt idx="10">
                  <c:v>3.46666666666667</c:v>
                </c:pt>
                <c:pt idx="11">
                  <c:v>3.64285714285714</c:v>
                </c:pt>
                <c:pt idx="12">
                  <c:v>3.14285714285714</c:v>
                </c:pt>
                <c:pt idx="13">
                  <c:v>2.86363636363636</c:v>
                </c:pt>
                <c:pt idx="14">
                  <c:v>3.46666666666667</c:v>
                </c:pt>
                <c:pt idx="15">
                  <c:v>3.09756097560976</c:v>
                </c:pt>
                <c:pt idx="16">
                  <c:v>3.22222222222222</c:v>
                </c:pt>
                <c:pt idx="17">
                  <c:v>3.25</c:v>
                </c:pt>
                <c:pt idx="18">
                  <c:v>3.02380952380952</c:v>
                </c:pt>
                <c:pt idx="19">
                  <c:v>3.2093023255814</c:v>
                </c:pt>
                <c:pt idx="20">
                  <c:v>3.46511627906977</c:v>
                </c:pt>
                <c:pt idx="21">
                  <c:v>3.24444444444444</c:v>
                </c:pt>
                <c:pt idx="22">
                  <c:v>3.6046511627907</c:v>
                </c:pt>
                <c:pt idx="23">
                  <c:v>3.15384615384615</c:v>
                </c:pt>
                <c:pt idx="24">
                  <c:v>3.15555555555556</c:v>
                </c:pt>
                <c:pt idx="25">
                  <c:v>3.37777777777778</c:v>
                </c:pt>
                <c:pt idx="26">
                  <c:v>3.13636363636364</c:v>
                </c:pt>
                <c:pt idx="27">
                  <c:v>3.31818181818182</c:v>
                </c:pt>
                <c:pt idx="28">
                  <c:v>3.30952380952381</c:v>
                </c:pt>
                <c:pt idx="29">
                  <c:v>3.52272727272727</c:v>
                </c:pt>
                <c:pt idx="30">
                  <c:v>3.22727272727273</c:v>
                </c:pt>
                <c:pt idx="31">
                  <c:v>3.27272727272727</c:v>
                </c:pt>
                <c:pt idx="32">
                  <c:v>3.35714285714286</c:v>
                </c:pt>
                <c:pt idx="33">
                  <c:v>3.24444444444444</c:v>
                </c:pt>
                <c:pt idx="34">
                  <c:v>3.31111111111111</c:v>
                </c:pt>
                <c:pt idx="35">
                  <c:v>3.64444444444444</c:v>
                </c:pt>
                <c:pt idx="36">
                  <c:v>3.44444444444444</c:v>
                </c:pt>
                <c:pt idx="37">
                  <c:v>3.27906976744186</c:v>
                </c:pt>
                <c:pt idx="38">
                  <c:v>3.23809523809524</c:v>
                </c:pt>
                <c:pt idx="39">
                  <c:v>3.16279069767442</c:v>
                </c:pt>
                <c:pt idx="40">
                  <c:v>3.15909090909091</c:v>
                </c:pt>
                <c:pt idx="41">
                  <c:v>3.31818181818182</c:v>
                </c:pt>
                <c:pt idx="42">
                  <c:v>3.2093023255814</c:v>
                </c:pt>
                <c:pt idx="43">
                  <c:v>3.17777777777778</c:v>
                </c:pt>
              </c:numCache>
            </c:numRef>
          </c:val>
        </c:ser>
        <c:gapWidth val="150"/>
        <c:overlap val="0"/>
        <c:axId val="84727605"/>
        <c:axId val="35327293"/>
      </c:barChart>
      <c:catAx>
        <c:axId val="8472760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Moyenne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27293"/>
        <c:crosses val="autoZero"/>
        <c:auto val="1"/>
        <c:lblAlgn val="ctr"/>
        <c:lblOffset val="100"/>
        <c:noMultiLvlLbl val="0"/>
      </c:catAx>
      <c:valAx>
        <c:axId val="35327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Affirmation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276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réponses par affirmation (en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'Stats échelles'!N1</c:f>
              <c:strCache>
                <c:ptCount val="1"/>
                <c:pt idx="0">
                  <c:v>%1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échelles'!$C$2:$C$45</c:f>
              <c:strCache>
                <c:ptCount val="44"/>
                <c:pt idx="0">
                  <c:v>Je me sens suffisamment accompagné(e) dans mon insertion professionnelle en tant qu'AME.</c:v>
                </c:pt>
                <c:pt idx="1">
                  <c:v>Mon statut d'AME limite mon accès aux mêmes formations que les enseignants titulaires.</c:v>
                </c:pt>
                <c:pt idx="2">
                  <c:v>Un accompagnement spécifique aux AME, au-delà des formations générales, serait utile à mon intégration professionnelle.</c:v>
                </c:pt>
                <c:pt idx="3">
                  <c:v>Je suis régulièrement informé à l'avance des opportunités de formation.</c:v>
                </c:pt>
                <c:pt idx="4">
                  <c:v>Les formations sont organisées de façon ponctuelle, sans continuité dans l'année.</c:v>
                </c:pt>
                <c:pt idx="5">
                  <c:v>Les thèmes de formation sont choisis sans me consulter (décision descendante).</c:v>
                </c:pt>
                <c:pt idx="6">
                  <c:v>Les Animations Pédagogiques de Zone (APZ) répondent à mes besoins réels.</c:v>
                </c:pt>
                <c:pt idx="7">
                  <c:v>Les Animations Pédagogiques d'Établissement (APE/APH) sont utiles pour ma pratique quotidienne.</c:v>
                </c:pt>
                <c:pt idx="8">
                  <c:v>Les formations dépendent trop de projets extérieurs (ONG, bailleurs, projets temporaires).</c:v>
                </c:pt>
                <c:pt idx="9">
                  <c:v>Les formations répondent à mes besoins réels rencontrés en classe.</c:v>
                </c:pt>
                <c:pt idx="10">
                  <c:v>Les contenus sont trop théoriques et éloignés de ma réalité de terrain.</c:v>
                </c:pt>
                <c:pt idx="11">
                  <c:v>Les formations sont adaptées à l'Approche Par Compétences (APC) attendue dans les programmes.</c:v>
                </c:pt>
                <c:pt idx="12">
                  <c:v>Les formateurs valorisent mon expérience professionnelle.</c:v>
                </c:pt>
                <c:pt idx="13">
                  <c:v>On utilise des méthodes actives (ateliers, études de cas, résolution de problèmes) pendant les formations.</c:v>
                </c:pt>
                <c:pt idx="14">
                  <c:v>Je repars avec des outils ou fiches pratiques immédiatement utilisables en classe.</c:v>
                </c:pt>
                <c:pt idx="15">
                  <c:v>Les formations m'amènent à analyser et réfléchir sur ma propre pratique de classe.</c:v>
                </c:pt>
                <c:pt idx="16">
                  <c:v>Un suivi rigoureux est assuré après chaque formation (visite en classe, entretien individuel).</c:v>
                </c:pt>
                <c:pt idx="17">
                  <c:v>Je bénéficie d'un accompagnement de proximité (conseiller pédagogique, tuteur, pair mentor).</c:v>
                </c:pt>
                <c:pt idx="18">
                  <c:v>Les inspecteurs ou encadreurs assurent un suivi efficace après la formation.</c:v>
                </c:pt>
                <c:pt idx="19">
                  <c:v>Les effets des formations sur les apprentissages des élèves sont régulièrement évalués.</c:v>
                </c:pt>
                <c:pt idx="20">
                  <c:v>Sans accompagnement post-formation, j'ai du mal à mettre en œuvre ce que j'ai appris.</c:v>
                </c:pt>
                <c:pt idx="21">
                  <c:v>Un système de tutorat ou mentorat entre enseignants serait utile.</c:v>
                </c:pt>
                <c:pt idx="22">
                  <c:v>L'accompagnement reçu porte sur des éléments concrets de ma pratique de classe, et non sur de simples formalités administratives.</c:v>
                </c:pt>
                <c:pt idx="23">
                  <c:v>Les acteurs chargés de m'accompagner (inspecteur, conseiller pédagogique, pair mentor) sont clairement identifiés et disponibles.</c:v>
                </c:pt>
                <c:pt idx="24">
                  <c:v>Ma charge de travail limite fortement ma participation aux formations.</c:v>
                </c:pt>
                <c:pt idx="25">
                  <c:v>Les contraintes financières (transport, frais divers) freinent mon accès aux formations.</c:v>
                </c:pt>
                <c:pt idx="26">
                  <c:v>Le manque de moyens matériels (salles, équipements, documents) est un frein important.</c:v>
                </c:pt>
                <c:pt idx="27">
                  <c:v>L'éloignement géographique des lieux de formation est un obstacle majeur.</c:v>
                </c:pt>
                <c:pt idx="28">
                  <c:v>Le manque de motivation personnelle ou collective impacte mon engagement.</c:v>
                </c:pt>
                <c:pt idx="29">
                  <c:v>Les animateurs ou formateurs sont parfois insuffisamment formés.</c:v>
                </c:pt>
                <c:pt idx="30">
                  <c:v>Le message des formations est déformé ou affaibli lorsqu'il passe de l'inspecteur au conseiller pédagogique puis à moi.</c:v>
                </c:pt>
                <c:pt idx="31">
                  <c:v>La formation continue actuelle produit des changements durables dans ma pratique enseignante.</c:v>
                </c:pt>
                <c:pt idx="32">
                  <c:v>Les formations ne dépendent pas uniquement de projets temporaires (elles pourraient continuer sans eux).</c:v>
                </c:pt>
                <c:pt idx="33">
                  <c:v>La formation continue contribue réellement à un enseignement de qualité.</c:v>
                </c:pt>
                <c:pt idx="34">
                  <c:v>Je me sens capable d'adapter ma pratique sans accompagnement extérieur après une formation.</c:v>
                </c:pt>
                <c:pt idx="35">
                  <c:v>Les formations intègrent efficacement les outils numériques (TIC, plateformes, ressources en ligne).</c:v>
                </c:pt>
                <c:pt idx="36">
                  <c:v>J'ai accès à des ressources numériques pour me former.</c:v>
                </c:pt>
                <c:pt idx="37">
                  <c:v>Les formateurs sont qualifiés pour les contenus qu'ils dispensent.</c:v>
                </c:pt>
                <c:pt idx="38">
                  <c:v>Je peux évaluer anonymement les formateurs après chaque session.</c:v>
                </c:pt>
                <c:pt idx="39">
                  <c:v>Je pratique une auto-évaluation régulière de mes compétences après les formations.</c:v>
                </c:pt>
                <c:pt idx="40">
                  <c:v>Je me sens capable d'utiliser seul(e) une plateforme de formation en ligne.</c:v>
                </c:pt>
                <c:pt idx="41">
                  <c:v>Je suis à l'aise pour suivre un module de formation à distance sans accompagnement présentiel.</c:v>
                </c:pt>
                <c:pt idx="42">
                  <c:v>Une formation hybride (présentiel + distanciel) serait adaptée à mes conditions de travail actuelles.</c:v>
                </c:pt>
                <c:pt idx="43">
                  <c:v>Je serais prêt(e) à m'investir activement dans un dispositif de formation hybride si celui-ci était mis en place.</c:v>
                </c:pt>
              </c:strCache>
            </c:strRef>
          </c:cat>
          <c:val>
            <c:numRef>
              <c:f>'Stats échelles'!$N$2:$N$45</c:f>
              <c:numCache>
                <c:formatCode>0.0%</c:formatCode>
                <c:ptCount val="44"/>
                <c:pt idx="0">
                  <c:v>0.19047619047619</c:v>
                </c:pt>
                <c:pt idx="1">
                  <c:v>0.0454545454545455</c:v>
                </c:pt>
                <c:pt idx="2">
                  <c:v>0</c:v>
                </c:pt>
                <c:pt idx="3">
                  <c:v>0.0909090909090909</c:v>
                </c:pt>
                <c:pt idx="4">
                  <c:v>0.0697674418604651</c:v>
                </c:pt>
                <c:pt idx="5">
                  <c:v>0.0681818181818182</c:v>
                </c:pt>
                <c:pt idx="6">
                  <c:v>0.136363636363636</c:v>
                </c:pt>
                <c:pt idx="7">
                  <c:v>0.0681818181818182</c:v>
                </c:pt>
                <c:pt idx="8">
                  <c:v>0.0476190476190476</c:v>
                </c:pt>
                <c:pt idx="9">
                  <c:v>0.119047619047619</c:v>
                </c:pt>
                <c:pt idx="10">
                  <c:v>0.0666666666666667</c:v>
                </c:pt>
                <c:pt idx="11">
                  <c:v>0.0238095238095238</c:v>
                </c:pt>
                <c:pt idx="12">
                  <c:v>0.166666666666667</c:v>
                </c:pt>
                <c:pt idx="13">
                  <c:v>0.204545454545455</c:v>
                </c:pt>
                <c:pt idx="14">
                  <c:v>0.0222222222222222</c:v>
                </c:pt>
                <c:pt idx="15">
                  <c:v>0.146341463414634</c:v>
                </c:pt>
                <c:pt idx="16">
                  <c:v>0.155555555555556</c:v>
                </c:pt>
                <c:pt idx="17">
                  <c:v>0.0681818181818182</c:v>
                </c:pt>
                <c:pt idx="18">
                  <c:v>0.119047619047619</c:v>
                </c:pt>
                <c:pt idx="19">
                  <c:v>0.0697674418604651</c:v>
                </c:pt>
                <c:pt idx="20">
                  <c:v>0.116279069767442</c:v>
                </c:pt>
                <c:pt idx="21">
                  <c:v>0.0666666666666667</c:v>
                </c:pt>
                <c:pt idx="22">
                  <c:v>0.0465116279069767</c:v>
                </c:pt>
                <c:pt idx="23">
                  <c:v>0.102564102564103</c:v>
                </c:pt>
                <c:pt idx="24">
                  <c:v>0.133333333333333</c:v>
                </c:pt>
                <c:pt idx="25">
                  <c:v>0.0666666666666667</c:v>
                </c:pt>
                <c:pt idx="26">
                  <c:v>0.113636363636364</c:v>
                </c:pt>
                <c:pt idx="27">
                  <c:v>0.0227272727272727</c:v>
                </c:pt>
                <c:pt idx="28">
                  <c:v>0.0952380952380952</c:v>
                </c:pt>
                <c:pt idx="29">
                  <c:v>0.113636363636364</c:v>
                </c:pt>
                <c:pt idx="30">
                  <c:v>0.136363636363636</c:v>
                </c:pt>
                <c:pt idx="31">
                  <c:v>0.113636363636364</c:v>
                </c:pt>
                <c:pt idx="32">
                  <c:v>0.0714285714285714</c:v>
                </c:pt>
                <c:pt idx="33">
                  <c:v>0.0666666666666667</c:v>
                </c:pt>
                <c:pt idx="34">
                  <c:v>0.0222222222222222</c:v>
                </c:pt>
                <c:pt idx="35">
                  <c:v>0.0666666666666667</c:v>
                </c:pt>
                <c:pt idx="36">
                  <c:v>0.0666666666666667</c:v>
                </c:pt>
                <c:pt idx="37">
                  <c:v>0.0930232558139535</c:v>
                </c:pt>
                <c:pt idx="38">
                  <c:v>0.119047619047619</c:v>
                </c:pt>
                <c:pt idx="39">
                  <c:v>0.13953488372093</c:v>
                </c:pt>
                <c:pt idx="40">
                  <c:v>0.0681818181818182</c:v>
                </c:pt>
                <c:pt idx="41">
                  <c:v>0.0909090909090909</c:v>
                </c:pt>
                <c:pt idx="42">
                  <c:v>0.116279069767442</c:v>
                </c:pt>
                <c:pt idx="43">
                  <c:v>0.0888888888888889</c:v>
                </c:pt>
              </c:numCache>
            </c:numRef>
          </c:val>
        </c:ser>
        <c:ser>
          <c:idx val="1"/>
          <c:order val="1"/>
          <c:tx>
            <c:strRef>
              <c:f>'Stats échelles'!O1</c:f>
              <c:strCache>
                <c:ptCount val="1"/>
                <c:pt idx="0">
                  <c:v>%2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échelles'!$C$2:$C$45</c:f>
              <c:strCache>
                <c:ptCount val="44"/>
                <c:pt idx="0">
                  <c:v>Je me sens suffisamment accompagné(e) dans mon insertion professionnelle en tant qu'AME.</c:v>
                </c:pt>
                <c:pt idx="1">
                  <c:v>Mon statut d'AME limite mon accès aux mêmes formations que les enseignants titulaires.</c:v>
                </c:pt>
                <c:pt idx="2">
                  <c:v>Un accompagnement spécifique aux AME, au-delà des formations générales, serait utile à mon intégration professionnelle.</c:v>
                </c:pt>
                <c:pt idx="3">
                  <c:v>Je suis régulièrement informé à l'avance des opportunités de formation.</c:v>
                </c:pt>
                <c:pt idx="4">
                  <c:v>Les formations sont organisées de façon ponctuelle, sans continuité dans l'année.</c:v>
                </c:pt>
                <c:pt idx="5">
                  <c:v>Les thèmes de formation sont choisis sans me consulter (décision descendante).</c:v>
                </c:pt>
                <c:pt idx="6">
                  <c:v>Les Animations Pédagogiques de Zone (APZ) répondent à mes besoins réels.</c:v>
                </c:pt>
                <c:pt idx="7">
                  <c:v>Les Animations Pédagogiques d'Établissement (APE/APH) sont utiles pour ma pratique quotidienne.</c:v>
                </c:pt>
                <c:pt idx="8">
                  <c:v>Les formations dépendent trop de projets extérieurs (ONG, bailleurs, projets temporaires).</c:v>
                </c:pt>
                <c:pt idx="9">
                  <c:v>Les formations répondent à mes besoins réels rencontrés en classe.</c:v>
                </c:pt>
                <c:pt idx="10">
                  <c:v>Les contenus sont trop théoriques et éloignés de ma réalité de terrain.</c:v>
                </c:pt>
                <c:pt idx="11">
                  <c:v>Les formations sont adaptées à l'Approche Par Compétences (APC) attendue dans les programmes.</c:v>
                </c:pt>
                <c:pt idx="12">
                  <c:v>Les formateurs valorisent mon expérience professionnelle.</c:v>
                </c:pt>
                <c:pt idx="13">
                  <c:v>On utilise des méthodes actives (ateliers, études de cas, résolution de problèmes) pendant les formations.</c:v>
                </c:pt>
                <c:pt idx="14">
                  <c:v>Je repars avec des outils ou fiches pratiques immédiatement utilisables en classe.</c:v>
                </c:pt>
                <c:pt idx="15">
                  <c:v>Les formations m'amènent à analyser et réfléchir sur ma propre pratique de classe.</c:v>
                </c:pt>
                <c:pt idx="16">
                  <c:v>Un suivi rigoureux est assuré après chaque formation (visite en classe, entretien individuel).</c:v>
                </c:pt>
                <c:pt idx="17">
                  <c:v>Je bénéficie d'un accompagnement de proximité (conseiller pédagogique, tuteur, pair mentor).</c:v>
                </c:pt>
                <c:pt idx="18">
                  <c:v>Les inspecteurs ou encadreurs assurent un suivi efficace après la formation.</c:v>
                </c:pt>
                <c:pt idx="19">
                  <c:v>Les effets des formations sur les apprentissages des élèves sont régulièrement évalués.</c:v>
                </c:pt>
                <c:pt idx="20">
                  <c:v>Sans accompagnement post-formation, j'ai du mal à mettre en œuvre ce que j'ai appris.</c:v>
                </c:pt>
                <c:pt idx="21">
                  <c:v>Un système de tutorat ou mentorat entre enseignants serait utile.</c:v>
                </c:pt>
                <c:pt idx="22">
                  <c:v>L'accompagnement reçu porte sur des éléments concrets de ma pratique de classe, et non sur de simples formalités administratives.</c:v>
                </c:pt>
                <c:pt idx="23">
                  <c:v>Les acteurs chargés de m'accompagner (inspecteur, conseiller pédagogique, pair mentor) sont clairement identifiés et disponibles.</c:v>
                </c:pt>
                <c:pt idx="24">
                  <c:v>Ma charge de travail limite fortement ma participation aux formations.</c:v>
                </c:pt>
                <c:pt idx="25">
                  <c:v>Les contraintes financières (transport, frais divers) freinent mon accès aux formations.</c:v>
                </c:pt>
                <c:pt idx="26">
                  <c:v>Le manque de moyens matériels (salles, équipements, documents) est un frein important.</c:v>
                </c:pt>
                <c:pt idx="27">
                  <c:v>L'éloignement géographique des lieux de formation est un obstacle majeur.</c:v>
                </c:pt>
                <c:pt idx="28">
                  <c:v>Le manque de motivation personnelle ou collective impacte mon engagement.</c:v>
                </c:pt>
                <c:pt idx="29">
                  <c:v>Les animateurs ou formateurs sont parfois insuffisamment formés.</c:v>
                </c:pt>
                <c:pt idx="30">
                  <c:v>Le message des formations est déformé ou affaibli lorsqu'il passe de l'inspecteur au conseiller pédagogique puis à moi.</c:v>
                </c:pt>
                <c:pt idx="31">
                  <c:v>La formation continue actuelle produit des changements durables dans ma pratique enseignante.</c:v>
                </c:pt>
                <c:pt idx="32">
                  <c:v>Les formations ne dépendent pas uniquement de projets temporaires (elles pourraient continuer sans eux).</c:v>
                </c:pt>
                <c:pt idx="33">
                  <c:v>La formation continue contribue réellement à un enseignement de qualité.</c:v>
                </c:pt>
                <c:pt idx="34">
                  <c:v>Je me sens capable d'adapter ma pratique sans accompagnement extérieur après une formation.</c:v>
                </c:pt>
                <c:pt idx="35">
                  <c:v>Les formations intègrent efficacement les outils numériques (TIC, plateformes, ressources en ligne).</c:v>
                </c:pt>
                <c:pt idx="36">
                  <c:v>J'ai accès à des ressources numériques pour me former.</c:v>
                </c:pt>
                <c:pt idx="37">
                  <c:v>Les formateurs sont qualifiés pour les contenus qu'ils dispensent.</c:v>
                </c:pt>
                <c:pt idx="38">
                  <c:v>Je peux évaluer anonymement les formateurs après chaque session.</c:v>
                </c:pt>
                <c:pt idx="39">
                  <c:v>Je pratique une auto-évaluation régulière de mes compétences après les formations.</c:v>
                </c:pt>
                <c:pt idx="40">
                  <c:v>Je me sens capable d'utiliser seul(e) une plateforme de formation en ligne.</c:v>
                </c:pt>
                <c:pt idx="41">
                  <c:v>Je suis à l'aise pour suivre un module de formation à distance sans accompagnement présentiel.</c:v>
                </c:pt>
                <c:pt idx="42">
                  <c:v>Une formation hybride (présentiel + distanciel) serait adaptée à mes conditions de travail actuelles.</c:v>
                </c:pt>
                <c:pt idx="43">
                  <c:v>Je serais prêt(e) à m'investir activement dans un dispositif de formation hybride si celui-ci était mis en place.</c:v>
                </c:pt>
              </c:strCache>
            </c:strRef>
          </c:cat>
          <c:val>
            <c:numRef>
              <c:f>'Stats échelles'!$O$2:$O$45</c:f>
              <c:numCache>
                <c:formatCode>0.0%</c:formatCode>
                <c:ptCount val="44"/>
                <c:pt idx="0">
                  <c:v>0.19047619047619</c:v>
                </c:pt>
                <c:pt idx="1">
                  <c:v>0.227272727272727</c:v>
                </c:pt>
                <c:pt idx="2">
                  <c:v>0.0476190476190476</c:v>
                </c:pt>
                <c:pt idx="3">
                  <c:v>0.136363636363636</c:v>
                </c:pt>
                <c:pt idx="4">
                  <c:v>0.162790697674419</c:v>
                </c:pt>
                <c:pt idx="5">
                  <c:v>0.181818181818182</c:v>
                </c:pt>
                <c:pt idx="6">
                  <c:v>0.159090909090909</c:v>
                </c:pt>
                <c:pt idx="7">
                  <c:v>0.363636363636364</c:v>
                </c:pt>
                <c:pt idx="8">
                  <c:v>0.19047619047619</c:v>
                </c:pt>
                <c:pt idx="9">
                  <c:v>0.119047619047619</c:v>
                </c:pt>
                <c:pt idx="10">
                  <c:v>0.133333333333333</c:v>
                </c:pt>
                <c:pt idx="11">
                  <c:v>0.119047619047619</c:v>
                </c:pt>
                <c:pt idx="12">
                  <c:v>0.119047619047619</c:v>
                </c:pt>
                <c:pt idx="13">
                  <c:v>0.159090909090909</c:v>
                </c:pt>
                <c:pt idx="14">
                  <c:v>0.2</c:v>
                </c:pt>
                <c:pt idx="15">
                  <c:v>0.121951219512195</c:v>
                </c:pt>
                <c:pt idx="16">
                  <c:v>0.111111111111111</c:v>
                </c:pt>
                <c:pt idx="17">
                  <c:v>0.227272727272727</c:v>
                </c:pt>
                <c:pt idx="18">
                  <c:v>0.214285714285714</c:v>
                </c:pt>
                <c:pt idx="19">
                  <c:v>0.325581395348837</c:v>
                </c:pt>
                <c:pt idx="20">
                  <c:v>0.116279069767442</c:v>
                </c:pt>
                <c:pt idx="21">
                  <c:v>0.222222222222222</c:v>
                </c:pt>
                <c:pt idx="22">
                  <c:v>0.186046511627907</c:v>
                </c:pt>
                <c:pt idx="23">
                  <c:v>0.153846153846154</c:v>
                </c:pt>
                <c:pt idx="24">
                  <c:v>0.155555555555556</c:v>
                </c:pt>
                <c:pt idx="25">
                  <c:v>0.177777777777778</c:v>
                </c:pt>
                <c:pt idx="26">
                  <c:v>0.159090909090909</c:v>
                </c:pt>
                <c:pt idx="27">
                  <c:v>0.295454545454545</c:v>
                </c:pt>
                <c:pt idx="28">
                  <c:v>0.19047619047619</c:v>
                </c:pt>
                <c:pt idx="29">
                  <c:v>0.136363636363636</c:v>
                </c:pt>
                <c:pt idx="30">
                  <c:v>0.136363636363636</c:v>
                </c:pt>
                <c:pt idx="31">
                  <c:v>0.181818181818182</c:v>
                </c:pt>
                <c:pt idx="32">
                  <c:v>0.166666666666667</c:v>
                </c:pt>
                <c:pt idx="33">
                  <c:v>0.155555555555556</c:v>
                </c:pt>
                <c:pt idx="34">
                  <c:v>0.266666666666667</c:v>
                </c:pt>
                <c:pt idx="35">
                  <c:v>0.155555555555556</c:v>
                </c:pt>
                <c:pt idx="36">
                  <c:v>0.177777777777778</c:v>
                </c:pt>
                <c:pt idx="37">
                  <c:v>0.209302325581395</c:v>
                </c:pt>
                <c:pt idx="38">
                  <c:v>0.119047619047619</c:v>
                </c:pt>
                <c:pt idx="39">
                  <c:v>0.209302325581395</c:v>
                </c:pt>
                <c:pt idx="40">
                  <c:v>0.204545454545455</c:v>
                </c:pt>
                <c:pt idx="41">
                  <c:v>0.136363636363636</c:v>
                </c:pt>
                <c:pt idx="42">
                  <c:v>0.186046511627907</c:v>
                </c:pt>
                <c:pt idx="43">
                  <c:v>0.177777777777778</c:v>
                </c:pt>
              </c:numCache>
            </c:numRef>
          </c:val>
        </c:ser>
        <c:ser>
          <c:idx val="2"/>
          <c:order val="2"/>
          <c:tx>
            <c:strRef>
              <c:f>'Stats échelles'!P1</c:f>
              <c:strCache>
                <c:ptCount val="1"/>
                <c:pt idx="0">
                  <c:v>%3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échelles'!$C$2:$C$45</c:f>
              <c:strCache>
                <c:ptCount val="44"/>
                <c:pt idx="0">
                  <c:v>Je me sens suffisamment accompagné(e) dans mon insertion professionnelle en tant qu'AME.</c:v>
                </c:pt>
                <c:pt idx="1">
                  <c:v>Mon statut d'AME limite mon accès aux mêmes formations que les enseignants titulaires.</c:v>
                </c:pt>
                <c:pt idx="2">
                  <c:v>Un accompagnement spécifique aux AME, au-delà des formations générales, serait utile à mon intégration professionnelle.</c:v>
                </c:pt>
                <c:pt idx="3">
                  <c:v>Je suis régulièrement informé à l'avance des opportunités de formation.</c:v>
                </c:pt>
                <c:pt idx="4">
                  <c:v>Les formations sont organisées de façon ponctuelle, sans continuité dans l'année.</c:v>
                </c:pt>
                <c:pt idx="5">
                  <c:v>Les thèmes de formation sont choisis sans me consulter (décision descendante).</c:v>
                </c:pt>
                <c:pt idx="6">
                  <c:v>Les Animations Pédagogiques de Zone (APZ) répondent à mes besoins réels.</c:v>
                </c:pt>
                <c:pt idx="7">
                  <c:v>Les Animations Pédagogiques d'Établissement (APE/APH) sont utiles pour ma pratique quotidienne.</c:v>
                </c:pt>
                <c:pt idx="8">
                  <c:v>Les formations dépendent trop de projets extérieurs (ONG, bailleurs, projets temporaires).</c:v>
                </c:pt>
                <c:pt idx="9">
                  <c:v>Les formations répondent à mes besoins réels rencontrés en classe.</c:v>
                </c:pt>
                <c:pt idx="10">
                  <c:v>Les contenus sont trop théoriques et éloignés de ma réalité de terrain.</c:v>
                </c:pt>
                <c:pt idx="11">
                  <c:v>Les formations sont adaptées à l'Approche Par Compétences (APC) attendue dans les programmes.</c:v>
                </c:pt>
                <c:pt idx="12">
                  <c:v>Les formateurs valorisent mon expérience professionnelle.</c:v>
                </c:pt>
                <c:pt idx="13">
                  <c:v>On utilise des méthodes actives (ateliers, études de cas, résolution de problèmes) pendant les formations.</c:v>
                </c:pt>
                <c:pt idx="14">
                  <c:v>Je repars avec des outils ou fiches pratiques immédiatement utilisables en classe.</c:v>
                </c:pt>
                <c:pt idx="15">
                  <c:v>Les formations m'amènent à analyser et réfléchir sur ma propre pratique de classe.</c:v>
                </c:pt>
                <c:pt idx="16">
                  <c:v>Un suivi rigoureux est assuré après chaque formation (visite en classe, entretien individuel).</c:v>
                </c:pt>
                <c:pt idx="17">
                  <c:v>Je bénéficie d'un accompagnement de proximité (conseiller pédagogique, tuteur, pair mentor).</c:v>
                </c:pt>
                <c:pt idx="18">
                  <c:v>Les inspecteurs ou encadreurs assurent un suivi efficace après la formation.</c:v>
                </c:pt>
                <c:pt idx="19">
                  <c:v>Les effets des formations sur les apprentissages des élèves sont régulièrement évalués.</c:v>
                </c:pt>
                <c:pt idx="20">
                  <c:v>Sans accompagnement post-formation, j'ai du mal à mettre en œuvre ce que j'ai appris.</c:v>
                </c:pt>
                <c:pt idx="21">
                  <c:v>Un système de tutorat ou mentorat entre enseignants serait utile.</c:v>
                </c:pt>
                <c:pt idx="22">
                  <c:v>L'accompagnement reçu porte sur des éléments concrets de ma pratique de classe, et non sur de simples formalités administratives.</c:v>
                </c:pt>
                <c:pt idx="23">
                  <c:v>Les acteurs chargés de m'accompagner (inspecteur, conseiller pédagogique, pair mentor) sont clairement identifiés et disponibles.</c:v>
                </c:pt>
                <c:pt idx="24">
                  <c:v>Ma charge de travail limite fortement ma participation aux formations.</c:v>
                </c:pt>
                <c:pt idx="25">
                  <c:v>Les contraintes financières (transport, frais divers) freinent mon accès aux formations.</c:v>
                </c:pt>
                <c:pt idx="26">
                  <c:v>Le manque de moyens matériels (salles, équipements, documents) est un frein important.</c:v>
                </c:pt>
                <c:pt idx="27">
                  <c:v>L'éloignement géographique des lieux de formation est un obstacle majeur.</c:v>
                </c:pt>
                <c:pt idx="28">
                  <c:v>Le manque de motivation personnelle ou collective impacte mon engagement.</c:v>
                </c:pt>
                <c:pt idx="29">
                  <c:v>Les animateurs ou formateurs sont parfois insuffisamment formés.</c:v>
                </c:pt>
                <c:pt idx="30">
                  <c:v>Le message des formations est déformé ou affaibli lorsqu'il passe de l'inspecteur au conseiller pédagogique puis à moi.</c:v>
                </c:pt>
                <c:pt idx="31">
                  <c:v>La formation continue actuelle produit des changements durables dans ma pratique enseignante.</c:v>
                </c:pt>
                <c:pt idx="32">
                  <c:v>Les formations ne dépendent pas uniquement de projets temporaires (elles pourraient continuer sans eux).</c:v>
                </c:pt>
                <c:pt idx="33">
                  <c:v>La formation continue contribue réellement à un enseignement de qualité.</c:v>
                </c:pt>
                <c:pt idx="34">
                  <c:v>Je me sens capable d'adapter ma pratique sans accompagnement extérieur après une formation.</c:v>
                </c:pt>
                <c:pt idx="35">
                  <c:v>Les formations intègrent efficacement les outils numériques (TIC, plateformes, ressources en ligne).</c:v>
                </c:pt>
                <c:pt idx="36">
                  <c:v>J'ai accès à des ressources numériques pour me former.</c:v>
                </c:pt>
                <c:pt idx="37">
                  <c:v>Les formateurs sont qualifiés pour les contenus qu'ils dispensent.</c:v>
                </c:pt>
                <c:pt idx="38">
                  <c:v>Je peux évaluer anonymement les formateurs après chaque session.</c:v>
                </c:pt>
                <c:pt idx="39">
                  <c:v>Je pratique une auto-évaluation régulière de mes compétences après les formations.</c:v>
                </c:pt>
                <c:pt idx="40">
                  <c:v>Je me sens capable d'utiliser seul(e) une plateforme de formation en ligne.</c:v>
                </c:pt>
                <c:pt idx="41">
                  <c:v>Je suis à l'aise pour suivre un module de formation à distance sans accompagnement présentiel.</c:v>
                </c:pt>
                <c:pt idx="42">
                  <c:v>Une formation hybride (présentiel + distanciel) serait adaptée à mes conditions de travail actuelles.</c:v>
                </c:pt>
                <c:pt idx="43">
                  <c:v>Je serais prêt(e) à m'investir activement dans un dispositif de formation hybride si celui-ci était mis en place.</c:v>
                </c:pt>
              </c:strCache>
            </c:strRef>
          </c:cat>
          <c:val>
            <c:numRef>
              <c:f>'Stats échelles'!$P$2:$P$45</c:f>
              <c:numCache>
                <c:formatCode>0.0%</c:formatCode>
                <c:ptCount val="44"/>
                <c:pt idx="0">
                  <c:v>0.19047619047619</c:v>
                </c:pt>
                <c:pt idx="1">
                  <c:v>0.318181818181818</c:v>
                </c:pt>
                <c:pt idx="2">
                  <c:v>0.523809523809524</c:v>
                </c:pt>
                <c:pt idx="3">
                  <c:v>0.340909090909091</c:v>
                </c:pt>
                <c:pt idx="4">
                  <c:v>0.209302325581395</c:v>
                </c:pt>
                <c:pt idx="5">
                  <c:v>0.340909090909091</c:v>
                </c:pt>
                <c:pt idx="6">
                  <c:v>0.159090909090909</c:v>
                </c:pt>
                <c:pt idx="7">
                  <c:v>0.25</c:v>
                </c:pt>
                <c:pt idx="8">
                  <c:v>0.357142857142857</c:v>
                </c:pt>
                <c:pt idx="9">
                  <c:v>0.285714285714286</c:v>
                </c:pt>
                <c:pt idx="10">
                  <c:v>0.288888888888889</c:v>
                </c:pt>
                <c:pt idx="11">
                  <c:v>0.333333333333333</c:v>
                </c:pt>
                <c:pt idx="12">
                  <c:v>0.261904761904762</c:v>
                </c:pt>
                <c:pt idx="13">
                  <c:v>0.318181818181818</c:v>
                </c:pt>
                <c:pt idx="14">
                  <c:v>0.311111111111111</c:v>
                </c:pt>
                <c:pt idx="15">
                  <c:v>0.317073170731707</c:v>
                </c:pt>
                <c:pt idx="16">
                  <c:v>0.288888888888889</c:v>
                </c:pt>
                <c:pt idx="17">
                  <c:v>0.272727272727273</c:v>
                </c:pt>
                <c:pt idx="18">
                  <c:v>0.30952380952381</c:v>
                </c:pt>
                <c:pt idx="19">
                  <c:v>0.116279069767442</c:v>
                </c:pt>
                <c:pt idx="20">
                  <c:v>0.209302325581395</c:v>
                </c:pt>
                <c:pt idx="21">
                  <c:v>0.244444444444444</c:v>
                </c:pt>
                <c:pt idx="22">
                  <c:v>0.186046511627907</c:v>
                </c:pt>
                <c:pt idx="23">
                  <c:v>0.41025641025641</c:v>
                </c:pt>
                <c:pt idx="24">
                  <c:v>0.288888888888889</c:v>
                </c:pt>
                <c:pt idx="25">
                  <c:v>0.266666666666667</c:v>
                </c:pt>
                <c:pt idx="26">
                  <c:v>0.363636363636364</c:v>
                </c:pt>
                <c:pt idx="27">
                  <c:v>0.272727272727273</c:v>
                </c:pt>
                <c:pt idx="28">
                  <c:v>0.261904761904762</c:v>
                </c:pt>
                <c:pt idx="29">
                  <c:v>0.181818181818182</c:v>
                </c:pt>
                <c:pt idx="30">
                  <c:v>0.25</c:v>
                </c:pt>
                <c:pt idx="31">
                  <c:v>0.227272727272727</c:v>
                </c:pt>
                <c:pt idx="32">
                  <c:v>0.238095238095238</c:v>
                </c:pt>
                <c:pt idx="33">
                  <c:v>0.377777777777778</c:v>
                </c:pt>
                <c:pt idx="34">
                  <c:v>0.244444444444444</c:v>
                </c:pt>
                <c:pt idx="35">
                  <c:v>0.177777777777778</c:v>
                </c:pt>
                <c:pt idx="36">
                  <c:v>0.266666666666667</c:v>
                </c:pt>
                <c:pt idx="37">
                  <c:v>0.232558139534884</c:v>
                </c:pt>
                <c:pt idx="38">
                  <c:v>0.30952380952381</c:v>
                </c:pt>
                <c:pt idx="39">
                  <c:v>0.209302325581395</c:v>
                </c:pt>
                <c:pt idx="40">
                  <c:v>0.363636363636364</c:v>
                </c:pt>
                <c:pt idx="41">
                  <c:v>0.318181818181818</c:v>
                </c:pt>
                <c:pt idx="42">
                  <c:v>0.255813953488372</c:v>
                </c:pt>
                <c:pt idx="43">
                  <c:v>0.355555555555556</c:v>
                </c:pt>
              </c:numCache>
            </c:numRef>
          </c:val>
        </c:ser>
        <c:ser>
          <c:idx val="3"/>
          <c:order val="3"/>
          <c:tx>
            <c:strRef>
              <c:f>'Stats échelles'!Q1</c:f>
              <c:strCache>
                <c:ptCount val="1"/>
                <c:pt idx="0">
                  <c:v>%4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échelles'!$C$2:$C$45</c:f>
              <c:strCache>
                <c:ptCount val="44"/>
                <c:pt idx="0">
                  <c:v>Je me sens suffisamment accompagné(e) dans mon insertion professionnelle en tant qu'AME.</c:v>
                </c:pt>
                <c:pt idx="1">
                  <c:v>Mon statut d'AME limite mon accès aux mêmes formations que les enseignants titulaires.</c:v>
                </c:pt>
                <c:pt idx="2">
                  <c:v>Un accompagnement spécifique aux AME, au-delà des formations générales, serait utile à mon intégration professionnelle.</c:v>
                </c:pt>
                <c:pt idx="3">
                  <c:v>Je suis régulièrement informé à l'avance des opportunités de formation.</c:v>
                </c:pt>
                <c:pt idx="4">
                  <c:v>Les formations sont organisées de façon ponctuelle, sans continuité dans l'année.</c:v>
                </c:pt>
                <c:pt idx="5">
                  <c:v>Les thèmes de formation sont choisis sans me consulter (décision descendante).</c:v>
                </c:pt>
                <c:pt idx="6">
                  <c:v>Les Animations Pédagogiques de Zone (APZ) répondent à mes besoins réels.</c:v>
                </c:pt>
                <c:pt idx="7">
                  <c:v>Les Animations Pédagogiques d'Établissement (APE/APH) sont utiles pour ma pratique quotidienne.</c:v>
                </c:pt>
                <c:pt idx="8">
                  <c:v>Les formations dépendent trop de projets extérieurs (ONG, bailleurs, projets temporaires).</c:v>
                </c:pt>
                <c:pt idx="9">
                  <c:v>Les formations répondent à mes besoins réels rencontrés en classe.</c:v>
                </c:pt>
                <c:pt idx="10">
                  <c:v>Les contenus sont trop théoriques et éloignés de ma réalité de terrain.</c:v>
                </c:pt>
                <c:pt idx="11">
                  <c:v>Les formations sont adaptées à l'Approche Par Compétences (APC) attendue dans les programmes.</c:v>
                </c:pt>
                <c:pt idx="12">
                  <c:v>Les formateurs valorisent mon expérience professionnelle.</c:v>
                </c:pt>
                <c:pt idx="13">
                  <c:v>On utilise des méthodes actives (ateliers, études de cas, résolution de problèmes) pendant les formations.</c:v>
                </c:pt>
                <c:pt idx="14">
                  <c:v>Je repars avec des outils ou fiches pratiques immédiatement utilisables en classe.</c:v>
                </c:pt>
                <c:pt idx="15">
                  <c:v>Les formations m'amènent à analyser et réfléchir sur ma propre pratique de classe.</c:v>
                </c:pt>
                <c:pt idx="16">
                  <c:v>Un suivi rigoureux est assuré après chaque formation (visite en classe, entretien individuel).</c:v>
                </c:pt>
                <c:pt idx="17">
                  <c:v>Je bénéficie d'un accompagnement de proximité (conseiller pédagogique, tuteur, pair mentor).</c:v>
                </c:pt>
                <c:pt idx="18">
                  <c:v>Les inspecteurs ou encadreurs assurent un suivi efficace après la formation.</c:v>
                </c:pt>
                <c:pt idx="19">
                  <c:v>Les effets des formations sur les apprentissages des élèves sont régulièrement évalués.</c:v>
                </c:pt>
                <c:pt idx="20">
                  <c:v>Sans accompagnement post-formation, j'ai du mal à mettre en œuvre ce que j'ai appris.</c:v>
                </c:pt>
                <c:pt idx="21">
                  <c:v>Un système de tutorat ou mentorat entre enseignants serait utile.</c:v>
                </c:pt>
                <c:pt idx="22">
                  <c:v>L'accompagnement reçu porte sur des éléments concrets de ma pratique de classe, et non sur de simples formalités administratives.</c:v>
                </c:pt>
                <c:pt idx="23">
                  <c:v>Les acteurs chargés de m'accompagner (inspecteur, conseiller pédagogique, pair mentor) sont clairement identifiés et disponibles.</c:v>
                </c:pt>
                <c:pt idx="24">
                  <c:v>Ma charge de travail limite fortement ma participation aux formations.</c:v>
                </c:pt>
                <c:pt idx="25">
                  <c:v>Les contraintes financières (transport, frais divers) freinent mon accès aux formations.</c:v>
                </c:pt>
                <c:pt idx="26">
                  <c:v>Le manque de moyens matériels (salles, équipements, documents) est un frein important.</c:v>
                </c:pt>
                <c:pt idx="27">
                  <c:v>L'éloignement géographique des lieux de formation est un obstacle majeur.</c:v>
                </c:pt>
                <c:pt idx="28">
                  <c:v>Le manque de motivation personnelle ou collective impacte mon engagement.</c:v>
                </c:pt>
                <c:pt idx="29">
                  <c:v>Les animateurs ou formateurs sont parfois insuffisamment formés.</c:v>
                </c:pt>
                <c:pt idx="30">
                  <c:v>Le message des formations est déformé ou affaibli lorsqu'il passe de l'inspecteur au conseiller pédagogique puis à moi.</c:v>
                </c:pt>
                <c:pt idx="31">
                  <c:v>La formation continue actuelle produit des changements durables dans ma pratique enseignante.</c:v>
                </c:pt>
                <c:pt idx="32">
                  <c:v>Les formations ne dépendent pas uniquement de projets temporaires (elles pourraient continuer sans eux).</c:v>
                </c:pt>
                <c:pt idx="33">
                  <c:v>La formation continue contribue réellement à un enseignement de qualité.</c:v>
                </c:pt>
                <c:pt idx="34">
                  <c:v>Je me sens capable d'adapter ma pratique sans accompagnement extérieur après une formation.</c:v>
                </c:pt>
                <c:pt idx="35">
                  <c:v>Les formations intègrent efficacement les outils numériques (TIC, plateformes, ressources en ligne).</c:v>
                </c:pt>
                <c:pt idx="36">
                  <c:v>J'ai accès à des ressources numériques pour me former.</c:v>
                </c:pt>
                <c:pt idx="37">
                  <c:v>Les formateurs sont qualifiés pour les contenus qu'ils dispensent.</c:v>
                </c:pt>
                <c:pt idx="38">
                  <c:v>Je peux évaluer anonymement les formateurs après chaque session.</c:v>
                </c:pt>
                <c:pt idx="39">
                  <c:v>Je pratique une auto-évaluation régulière de mes compétences après les formations.</c:v>
                </c:pt>
                <c:pt idx="40">
                  <c:v>Je me sens capable d'utiliser seul(e) une plateforme de formation en ligne.</c:v>
                </c:pt>
                <c:pt idx="41">
                  <c:v>Je suis à l'aise pour suivre un module de formation à distance sans accompagnement présentiel.</c:v>
                </c:pt>
                <c:pt idx="42">
                  <c:v>Une formation hybride (présentiel + distanciel) serait adaptée à mes conditions de travail actuelles.</c:v>
                </c:pt>
                <c:pt idx="43">
                  <c:v>Je serais prêt(e) à m'investir activement dans un dispositif de formation hybride si celui-ci était mis en place.</c:v>
                </c:pt>
              </c:strCache>
            </c:strRef>
          </c:cat>
          <c:val>
            <c:numRef>
              <c:f>'Stats échelles'!$Q$2:$Q$45</c:f>
              <c:numCache>
                <c:formatCode>0.0%</c:formatCode>
                <c:ptCount val="44"/>
                <c:pt idx="0">
                  <c:v>0.19047619047619</c:v>
                </c:pt>
                <c:pt idx="1">
                  <c:v>0.181818181818182</c:v>
                </c:pt>
                <c:pt idx="2">
                  <c:v>0.380952380952381</c:v>
                </c:pt>
                <c:pt idx="3">
                  <c:v>0.25</c:v>
                </c:pt>
                <c:pt idx="4">
                  <c:v>0.395348837209302</c:v>
                </c:pt>
                <c:pt idx="5">
                  <c:v>0.227272727272727</c:v>
                </c:pt>
                <c:pt idx="6">
                  <c:v>0.295454545454545</c:v>
                </c:pt>
                <c:pt idx="7">
                  <c:v>0.204545454545455</c:v>
                </c:pt>
                <c:pt idx="8">
                  <c:v>0.285714285714286</c:v>
                </c:pt>
                <c:pt idx="9">
                  <c:v>0.380952380952381</c:v>
                </c:pt>
                <c:pt idx="10">
                  <c:v>0.288888888888889</c:v>
                </c:pt>
                <c:pt idx="11">
                  <c:v>0.238095238095238</c:v>
                </c:pt>
                <c:pt idx="12">
                  <c:v>0.30952380952381</c:v>
                </c:pt>
                <c:pt idx="13">
                  <c:v>0.204545454545455</c:v>
                </c:pt>
                <c:pt idx="14">
                  <c:v>0.222222222222222</c:v>
                </c:pt>
                <c:pt idx="15">
                  <c:v>0.317073170731707</c:v>
                </c:pt>
                <c:pt idx="16">
                  <c:v>0.244444444444444</c:v>
                </c:pt>
                <c:pt idx="17">
                  <c:v>0.25</c:v>
                </c:pt>
                <c:pt idx="18">
                  <c:v>0.238095238095238</c:v>
                </c:pt>
                <c:pt idx="19">
                  <c:v>0.302325581395349</c:v>
                </c:pt>
                <c:pt idx="20">
                  <c:v>0.302325581395349</c:v>
                </c:pt>
                <c:pt idx="21">
                  <c:v>0.333333333333333</c:v>
                </c:pt>
                <c:pt idx="22">
                  <c:v>0.27906976744186</c:v>
                </c:pt>
                <c:pt idx="23">
                  <c:v>0.153846153846154</c:v>
                </c:pt>
                <c:pt idx="24">
                  <c:v>0.266666666666667</c:v>
                </c:pt>
                <c:pt idx="25">
                  <c:v>0.288888888888889</c:v>
                </c:pt>
                <c:pt idx="26">
                  <c:v>0.204545454545455</c:v>
                </c:pt>
                <c:pt idx="27">
                  <c:v>0.159090909090909</c:v>
                </c:pt>
                <c:pt idx="28">
                  <c:v>0.214285714285714</c:v>
                </c:pt>
                <c:pt idx="29">
                  <c:v>0.25</c:v>
                </c:pt>
                <c:pt idx="30">
                  <c:v>0.318181818181818</c:v>
                </c:pt>
                <c:pt idx="31">
                  <c:v>0.272727272727273</c:v>
                </c:pt>
                <c:pt idx="32">
                  <c:v>0.380952380952381</c:v>
                </c:pt>
                <c:pt idx="33">
                  <c:v>0.266666666666667</c:v>
                </c:pt>
                <c:pt idx="34">
                  <c:v>0.311111111111111</c:v>
                </c:pt>
                <c:pt idx="35">
                  <c:v>0.266666666666667</c:v>
                </c:pt>
                <c:pt idx="36">
                  <c:v>0.222222222222222</c:v>
                </c:pt>
                <c:pt idx="37">
                  <c:v>0.255813953488372</c:v>
                </c:pt>
                <c:pt idx="38">
                  <c:v>0.30952380952381</c:v>
                </c:pt>
                <c:pt idx="39">
                  <c:v>0.232558139534884</c:v>
                </c:pt>
                <c:pt idx="40">
                  <c:v>0.227272727272727</c:v>
                </c:pt>
                <c:pt idx="41">
                  <c:v>0.272727272727273</c:v>
                </c:pt>
                <c:pt idx="42">
                  <c:v>0.255813953488372</c:v>
                </c:pt>
                <c:pt idx="43">
                  <c:v>0.222222222222222</c:v>
                </c:pt>
              </c:numCache>
            </c:numRef>
          </c:val>
        </c:ser>
        <c:ser>
          <c:idx val="4"/>
          <c:order val="4"/>
          <c:tx>
            <c:strRef>
              <c:f>'Stats échelles'!R1</c:f>
              <c:strCache>
                <c:ptCount val="1"/>
                <c:pt idx="0">
                  <c:v>%5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échelles'!$C$2:$C$45</c:f>
              <c:strCache>
                <c:ptCount val="44"/>
                <c:pt idx="0">
                  <c:v>Je me sens suffisamment accompagné(e) dans mon insertion professionnelle en tant qu'AME.</c:v>
                </c:pt>
                <c:pt idx="1">
                  <c:v>Mon statut d'AME limite mon accès aux mêmes formations que les enseignants titulaires.</c:v>
                </c:pt>
                <c:pt idx="2">
                  <c:v>Un accompagnement spécifique aux AME, au-delà des formations générales, serait utile à mon intégration professionnelle.</c:v>
                </c:pt>
                <c:pt idx="3">
                  <c:v>Je suis régulièrement informé à l'avance des opportunités de formation.</c:v>
                </c:pt>
                <c:pt idx="4">
                  <c:v>Les formations sont organisées de façon ponctuelle, sans continuité dans l'année.</c:v>
                </c:pt>
                <c:pt idx="5">
                  <c:v>Les thèmes de formation sont choisis sans me consulter (décision descendante).</c:v>
                </c:pt>
                <c:pt idx="6">
                  <c:v>Les Animations Pédagogiques de Zone (APZ) répondent à mes besoins réels.</c:v>
                </c:pt>
                <c:pt idx="7">
                  <c:v>Les Animations Pédagogiques d'Établissement (APE/APH) sont utiles pour ma pratique quotidienne.</c:v>
                </c:pt>
                <c:pt idx="8">
                  <c:v>Les formations dépendent trop de projets extérieurs (ONG, bailleurs, projets temporaires).</c:v>
                </c:pt>
                <c:pt idx="9">
                  <c:v>Les formations répondent à mes besoins réels rencontrés en classe.</c:v>
                </c:pt>
                <c:pt idx="10">
                  <c:v>Les contenus sont trop théoriques et éloignés de ma réalité de terrain.</c:v>
                </c:pt>
                <c:pt idx="11">
                  <c:v>Les formations sont adaptées à l'Approche Par Compétences (APC) attendue dans les programmes.</c:v>
                </c:pt>
                <c:pt idx="12">
                  <c:v>Les formateurs valorisent mon expérience professionnelle.</c:v>
                </c:pt>
                <c:pt idx="13">
                  <c:v>On utilise des méthodes actives (ateliers, études de cas, résolution de problèmes) pendant les formations.</c:v>
                </c:pt>
                <c:pt idx="14">
                  <c:v>Je repars avec des outils ou fiches pratiques immédiatement utilisables en classe.</c:v>
                </c:pt>
                <c:pt idx="15">
                  <c:v>Les formations m'amènent à analyser et réfléchir sur ma propre pratique de classe.</c:v>
                </c:pt>
                <c:pt idx="16">
                  <c:v>Un suivi rigoureux est assuré après chaque formation (visite en classe, entretien individuel).</c:v>
                </c:pt>
                <c:pt idx="17">
                  <c:v>Je bénéficie d'un accompagnement de proximité (conseiller pédagogique, tuteur, pair mentor).</c:v>
                </c:pt>
                <c:pt idx="18">
                  <c:v>Les inspecteurs ou encadreurs assurent un suivi efficace après la formation.</c:v>
                </c:pt>
                <c:pt idx="19">
                  <c:v>Les effets des formations sur les apprentissages des élèves sont régulièrement évalués.</c:v>
                </c:pt>
                <c:pt idx="20">
                  <c:v>Sans accompagnement post-formation, j'ai du mal à mettre en œuvre ce que j'ai appris.</c:v>
                </c:pt>
                <c:pt idx="21">
                  <c:v>Un système de tutorat ou mentorat entre enseignants serait utile.</c:v>
                </c:pt>
                <c:pt idx="22">
                  <c:v>L'accompagnement reçu porte sur des éléments concrets de ma pratique de classe, et non sur de simples formalités administratives.</c:v>
                </c:pt>
                <c:pt idx="23">
                  <c:v>Les acteurs chargés de m'accompagner (inspecteur, conseiller pédagogique, pair mentor) sont clairement identifiés et disponibles.</c:v>
                </c:pt>
                <c:pt idx="24">
                  <c:v>Ma charge de travail limite fortement ma participation aux formations.</c:v>
                </c:pt>
                <c:pt idx="25">
                  <c:v>Les contraintes financières (transport, frais divers) freinent mon accès aux formations.</c:v>
                </c:pt>
                <c:pt idx="26">
                  <c:v>Le manque de moyens matériels (salles, équipements, documents) est un frein important.</c:v>
                </c:pt>
                <c:pt idx="27">
                  <c:v>L'éloignement géographique des lieux de formation est un obstacle majeur.</c:v>
                </c:pt>
                <c:pt idx="28">
                  <c:v>Le manque de motivation personnelle ou collective impacte mon engagement.</c:v>
                </c:pt>
                <c:pt idx="29">
                  <c:v>Les animateurs ou formateurs sont parfois insuffisamment formés.</c:v>
                </c:pt>
                <c:pt idx="30">
                  <c:v>Le message des formations est déformé ou affaibli lorsqu'il passe de l'inspecteur au conseiller pédagogique puis à moi.</c:v>
                </c:pt>
                <c:pt idx="31">
                  <c:v>La formation continue actuelle produit des changements durables dans ma pratique enseignante.</c:v>
                </c:pt>
                <c:pt idx="32">
                  <c:v>Les formations ne dépendent pas uniquement de projets temporaires (elles pourraient continuer sans eux).</c:v>
                </c:pt>
                <c:pt idx="33">
                  <c:v>La formation continue contribue réellement à un enseignement de qualité.</c:v>
                </c:pt>
                <c:pt idx="34">
                  <c:v>Je me sens capable d'adapter ma pratique sans accompagnement extérieur après une formation.</c:v>
                </c:pt>
                <c:pt idx="35">
                  <c:v>Les formations intègrent efficacement les outils numériques (TIC, plateformes, ressources en ligne).</c:v>
                </c:pt>
                <c:pt idx="36">
                  <c:v>J'ai accès à des ressources numériques pour me former.</c:v>
                </c:pt>
                <c:pt idx="37">
                  <c:v>Les formateurs sont qualifiés pour les contenus qu'ils dispensent.</c:v>
                </c:pt>
                <c:pt idx="38">
                  <c:v>Je peux évaluer anonymement les formateurs après chaque session.</c:v>
                </c:pt>
                <c:pt idx="39">
                  <c:v>Je pratique une auto-évaluation régulière de mes compétences après les formations.</c:v>
                </c:pt>
                <c:pt idx="40">
                  <c:v>Je me sens capable d'utiliser seul(e) une plateforme de formation en ligne.</c:v>
                </c:pt>
                <c:pt idx="41">
                  <c:v>Je suis à l'aise pour suivre un module de formation à distance sans accompagnement présentiel.</c:v>
                </c:pt>
                <c:pt idx="42">
                  <c:v>Une formation hybride (présentiel + distanciel) serait adaptée à mes conditions de travail actuelles.</c:v>
                </c:pt>
                <c:pt idx="43">
                  <c:v>Je serais prêt(e) à m'investir activement dans un dispositif de formation hybride si celui-ci était mis en place.</c:v>
                </c:pt>
              </c:strCache>
            </c:strRef>
          </c:cat>
          <c:val>
            <c:numRef>
              <c:f>'Stats échelles'!$R$2:$R$45</c:f>
              <c:numCache>
                <c:formatCode>0.0%</c:formatCode>
                <c:ptCount val="44"/>
                <c:pt idx="0">
                  <c:v>0.238095238095238</c:v>
                </c:pt>
                <c:pt idx="1">
                  <c:v>0.227272727272727</c:v>
                </c:pt>
                <c:pt idx="2">
                  <c:v>0.0476190476190476</c:v>
                </c:pt>
                <c:pt idx="3">
                  <c:v>0.181818181818182</c:v>
                </c:pt>
                <c:pt idx="4">
                  <c:v>0.162790697674419</c:v>
                </c:pt>
                <c:pt idx="5">
                  <c:v>0.181818181818182</c:v>
                </c:pt>
                <c:pt idx="6">
                  <c:v>0.25</c:v>
                </c:pt>
                <c:pt idx="7">
                  <c:v>0.113636363636364</c:v>
                </c:pt>
                <c:pt idx="8">
                  <c:v>0.119047619047619</c:v>
                </c:pt>
                <c:pt idx="9">
                  <c:v>0.0952380952380952</c:v>
                </c:pt>
                <c:pt idx="10">
                  <c:v>0.222222222222222</c:v>
                </c:pt>
                <c:pt idx="11">
                  <c:v>0.285714285714286</c:v>
                </c:pt>
                <c:pt idx="12">
                  <c:v>0.142857142857143</c:v>
                </c:pt>
                <c:pt idx="13">
                  <c:v>0.113636363636364</c:v>
                </c:pt>
                <c:pt idx="14">
                  <c:v>0.244444444444444</c:v>
                </c:pt>
                <c:pt idx="15">
                  <c:v>0.0975609756097561</c:v>
                </c:pt>
                <c:pt idx="16">
                  <c:v>0.2</c:v>
                </c:pt>
                <c:pt idx="17">
                  <c:v>0.181818181818182</c:v>
                </c:pt>
                <c:pt idx="18">
                  <c:v>0.119047619047619</c:v>
                </c:pt>
                <c:pt idx="19">
                  <c:v>0.186046511627907</c:v>
                </c:pt>
                <c:pt idx="20">
                  <c:v>0.255813953488372</c:v>
                </c:pt>
                <c:pt idx="21">
                  <c:v>0.133333333333333</c:v>
                </c:pt>
                <c:pt idx="22">
                  <c:v>0.302325581395349</c:v>
                </c:pt>
                <c:pt idx="23">
                  <c:v>0.17948717948718</c:v>
                </c:pt>
                <c:pt idx="24">
                  <c:v>0.155555555555556</c:v>
                </c:pt>
                <c:pt idx="25">
                  <c:v>0.2</c:v>
                </c:pt>
                <c:pt idx="26">
                  <c:v>0.159090909090909</c:v>
                </c:pt>
                <c:pt idx="27">
                  <c:v>0.25</c:v>
                </c:pt>
                <c:pt idx="28">
                  <c:v>0.238095238095238</c:v>
                </c:pt>
                <c:pt idx="29">
                  <c:v>0.318181818181818</c:v>
                </c:pt>
                <c:pt idx="30">
                  <c:v>0.159090909090909</c:v>
                </c:pt>
                <c:pt idx="31">
                  <c:v>0.204545454545455</c:v>
                </c:pt>
                <c:pt idx="32">
                  <c:v>0.142857142857143</c:v>
                </c:pt>
                <c:pt idx="33">
                  <c:v>0.133333333333333</c:v>
                </c:pt>
                <c:pt idx="34">
                  <c:v>0.155555555555556</c:v>
                </c:pt>
                <c:pt idx="35">
                  <c:v>0.333333333333333</c:v>
                </c:pt>
                <c:pt idx="36">
                  <c:v>0.266666666666667</c:v>
                </c:pt>
                <c:pt idx="37">
                  <c:v>0.209302325581395</c:v>
                </c:pt>
                <c:pt idx="38">
                  <c:v>0.142857142857143</c:v>
                </c:pt>
                <c:pt idx="39">
                  <c:v>0.209302325581395</c:v>
                </c:pt>
                <c:pt idx="40">
                  <c:v>0.136363636363636</c:v>
                </c:pt>
                <c:pt idx="41">
                  <c:v>0.181818181818182</c:v>
                </c:pt>
                <c:pt idx="42">
                  <c:v>0.186046511627907</c:v>
                </c:pt>
                <c:pt idx="43">
                  <c:v>0.155555555555556</c:v>
                </c:pt>
              </c:numCache>
            </c:numRef>
          </c:val>
        </c:ser>
        <c:gapWidth val="150"/>
        <c:overlap val="100"/>
        <c:axId val="43522816"/>
        <c:axId val="47909003"/>
      </c:barChart>
      <c:catAx>
        <c:axId val="4352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09003"/>
        <c:crosses val="autoZero"/>
        <c:auto val="1"/>
        <c:lblAlgn val="ctr"/>
        <c:lblOffset val="100"/>
        <c:noMultiLvlLbl val="0"/>
      </c:catAx>
      <c:valAx>
        <c:axId val="47909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228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moyen par section (items inversés recodés)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'Synthèse sections'!C1</c:f>
              <c:strCache>
                <c:ptCount val="1"/>
                <c:pt idx="0">
                  <c:v>Score moyen (1-5)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sections'!$A$2:$A$9</c:f>
              <c:strCache>
                <c:ptCount val="8"/>
                <c:pt idx="0">
                  <c:v>I bis. Volet spécifique AME</c:v>
                </c:pt>
                <c:pt idx="1">
                  <c:v>II. Politique et organisation de la formation continue</c:v>
                </c:pt>
                <c:pt idx="2">
                  <c:v>III. Pertinence, approche pédagogique et réflexivité</c:v>
                </c:pt>
                <c:pt idx="3">
                  <c:v>IV. Pratiques réelles d'accompagnement</c:v>
                </c:pt>
                <c:pt idx="4">
                  <c:v>V. Contraintes et obstacles majeurs</c:v>
                </c:pt>
                <c:pt idx="5">
                  <c:v>VI. Développement professionnel durable</c:v>
                </c:pt>
                <c:pt idx="6">
                  <c:v>VII. Numérique, évaluation des formateurs et auto-évaluation</c:v>
                </c:pt>
                <c:pt idx="7">
                  <c:v>VIII. Conditions technologiques (hybride / à distance)</c:v>
                </c:pt>
              </c:strCache>
            </c:strRef>
          </c:cat>
          <c:val>
            <c:numRef>
              <c:f>'Synthèse sections'!$C$2:$C$9</c:f>
              <c:numCache>
                <c:formatCode>0.00</c:formatCode>
                <c:ptCount val="8"/>
                <c:pt idx="0">
                  <c:v>3.04545454545455</c:v>
                </c:pt>
                <c:pt idx="1">
                  <c:v>2.95888888888889</c:v>
                </c:pt>
                <c:pt idx="2">
                  <c:v>3.12539682539683</c:v>
                </c:pt>
                <c:pt idx="3">
                  <c:v>3.16269841269841</c:v>
                </c:pt>
                <c:pt idx="4">
                  <c:v>2.71164021164021</c:v>
                </c:pt>
                <c:pt idx="5">
                  <c:v>3.2962962962963</c:v>
                </c:pt>
                <c:pt idx="6">
                  <c:v>3.35666666666667</c:v>
                </c:pt>
                <c:pt idx="7">
                  <c:v>3.22037037037037</c:v>
                </c:pt>
              </c:numCache>
            </c:numRef>
          </c:val>
        </c:ser>
        <c:gapWidth val="150"/>
        <c:overlap val="0"/>
        <c:axId val="69295064"/>
        <c:axId val="92067428"/>
      </c:barChart>
      <c:catAx>
        <c:axId val="6929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67428"/>
        <c:crosses val="autoZero"/>
        <c:auto val="1"/>
        <c:lblAlgn val="ctr"/>
        <c:lblOffset val="100"/>
        <c:noMultiLvlLbl val="0"/>
      </c:catAx>
      <c:valAx>
        <c:axId val="92067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moyen /5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50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par sexe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'Stats catégorielles'!$C$5:$C$6</c:f>
              <c:strCache>
                <c:ptCount val="2"/>
                <c:pt idx="0">
                  <c:v>Masculin</c:v>
                </c:pt>
                <c:pt idx="1">
                  <c:v>Féminin</c:v>
                </c:pt>
              </c:strCache>
            </c:strRef>
          </c:cat>
          <c:val>
            <c:numRef>
              <c:f>'Stats catégorielles'!$D$5:$D$6</c:f>
              <c:numCache>
                <c:formatCode>General</c:formatCode>
                <c:ptCount val="2"/>
                <c:pt idx="0">
                  <c:v>25</c:v>
                </c:pt>
                <c:pt idx="1">
                  <c:v>16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par tranche d'âge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catégorielles'!$C$8:$C$11</c:f>
              <c:strCache>
                <c:ptCount val="4"/>
                <c:pt idx="0">
                  <c:v>moins de 30 ans</c:v>
                </c:pt>
                <c:pt idx="1">
                  <c:v>30-39 ans</c:v>
                </c:pt>
                <c:pt idx="2">
                  <c:v>40-49 ans</c:v>
                </c:pt>
                <c:pt idx="3">
                  <c:v>50 ans et plus</c:v>
                </c:pt>
              </c:strCache>
            </c:strRef>
          </c:cat>
          <c:val>
            <c:numRef>
              <c:f>'Stats catégorielles'!$D$8:$D$11</c:f>
              <c:numCache>
                <c:formatCode>General</c:formatCode>
                <c:ptCount val="4"/>
                <c:pt idx="0">
                  <c:v>11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23200374"/>
        <c:axId val="68108659"/>
      </c:barChart>
      <c:catAx>
        <c:axId val="232003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08659"/>
        <c:crosses val="autoZero"/>
        <c:auto val="1"/>
        <c:lblAlgn val="ctr"/>
        <c:lblOffset val="100"/>
        <c:noMultiLvlLbl val="0"/>
      </c:catAx>
      <c:valAx>
        <c:axId val="68108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00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Ancienneté dans l'enseignement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catégorielles'!$C$13:$C$16</c:f>
              <c:strCache>
                <c:ptCount val="4"/>
                <c:pt idx="0">
                  <c:v>moins de 5 ans</c:v>
                </c:pt>
                <c:pt idx="1">
                  <c:v>5-10 ans</c:v>
                </c:pt>
                <c:pt idx="2">
                  <c:v>11-20 ans</c:v>
                </c:pt>
                <c:pt idx="3">
                  <c:v>plus de 20 ans</c:v>
                </c:pt>
              </c:strCache>
            </c:strRef>
          </c:cat>
          <c:val>
            <c:numRef>
              <c:f>'Stats catégorielles'!$D$13:$D$16</c:f>
              <c:numCache>
                <c:formatCode>General</c:formatCode>
                <c:ptCount val="4"/>
                <c:pt idx="0">
                  <c:v>12</c:v>
                </c:pt>
                <c:pt idx="1">
                  <c:v>7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</c:ser>
        <c:gapWidth val="150"/>
        <c:overlap val="0"/>
        <c:axId val="34809903"/>
        <c:axId val="55383908"/>
      </c:barChart>
      <c:catAx>
        <c:axId val="348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3908"/>
        <c:crosses val="autoZero"/>
        <c:auto val="1"/>
        <c:lblAlgn val="ctr"/>
        <c:lblOffset val="100"/>
        <c:noMultiLvlLbl val="0"/>
      </c:catAx>
      <c:valAx>
        <c:axId val="55383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09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Statut professionnel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catégorielles'!$C$18:$C$21</c:f>
              <c:strCache>
                <c:ptCount val="4"/>
                <c:pt idx="0">
                  <c:v>FE</c:v>
                </c:pt>
                <c:pt idx="1">
                  <c:v>ACDPE</c:v>
                </c:pt>
                <c:pt idx="2">
                  <c:v>AME</c:v>
                </c:pt>
                <c:pt idx="3">
                  <c:v>Autre</c:v>
                </c:pt>
              </c:strCache>
            </c:strRef>
          </c:cat>
          <c:val>
            <c:numRef>
              <c:f>'Stats catégorielles'!$D$18:$D$21</c:f>
              <c:numCache>
                <c:formatCode>General</c:formatCode>
                <c:ptCount val="4"/>
                <c:pt idx="0">
                  <c:v>11</c:v>
                </c:pt>
                <c:pt idx="1">
                  <c:v>12</c:v>
                </c:pt>
                <c:pt idx="2">
                  <c:v>22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1360588"/>
        <c:axId val="17847613"/>
      </c:barChart>
      <c:catAx>
        <c:axId val="11360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47613"/>
        <c:crosses val="autoZero"/>
        <c:auto val="1"/>
        <c:lblAlgn val="ctr"/>
        <c:lblOffset val="100"/>
        <c:noMultiLvlLbl val="0"/>
      </c:catAx>
      <c:valAx>
        <c:axId val="17847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605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Discipline enseignée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catégorielles'!$C$33:$C$36</c:f>
              <c:strCache>
                <c:ptCount val="4"/>
                <c:pt idx="0">
                  <c:v>Lettres</c:v>
                </c:pt>
                <c:pt idx="1">
                  <c:v>Sciences et Technologies</c:v>
                </c:pt>
                <c:pt idx="2">
                  <c:v>Sciences Humaines</c:v>
                </c:pt>
                <c:pt idx="3">
                  <c:v>Autre</c:v>
                </c:pt>
              </c:strCache>
            </c:strRef>
          </c:cat>
          <c:val>
            <c:numRef>
              <c:f>'Stats catégorielles'!$D$33:$D$36</c:f>
              <c:numCache>
                <c:formatCode>General</c:formatCode>
                <c:ptCount val="4"/>
                <c:pt idx="0">
                  <c:v>11</c:v>
                </c:pt>
                <c:pt idx="1">
                  <c:v>17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</c:ser>
        <c:gapWidth val="150"/>
        <c:overlap val="0"/>
        <c:axId val="38119559"/>
        <c:axId val="87222357"/>
      </c:barChart>
      <c:catAx>
        <c:axId val="38119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22357"/>
        <c:crosses val="autoZero"/>
        <c:auto val="1"/>
        <c:lblAlgn val="ctr"/>
        <c:lblOffset val="100"/>
        <c:noMultiLvlLbl val="0"/>
      </c:catAx>
      <c:valAx>
        <c:axId val="872223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195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Type de formation préféré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catégorielles'!$C$90:$C$93</c:f>
              <c:strCache>
                <c:ptCount val="4"/>
                <c:pt idx="0">
                  <c:v>Présentiel pur</c:v>
                </c:pt>
                <c:pt idx="1">
                  <c:v>À distance (en ligne)</c:v>
                </c:pt>
                <c:pt idx="2">
                  <c:v>Mixte (présentiel + à distance)</c:v>
                </c:pt>
                <c:pt idx="3">
                  <c:v>Autre</c:v>
                </c:pt>
              </c:strCache>
            </c:strRef>
          </c:cat>
          <c:val>
            <c:numRef>
              <c:f>'Stats catégorielles'!$D$90:$D$93</c:f>
              <c:numCache>
                <c:formatCode>General</c:formatCode>
                <c:ptCount val="4"/>
                <c:pt idx="0">
                  <c:v>12</c:v>
                </c:pt>
                <c:pt idx="1">
                  <c:v>7</c:v>
                </c:pt>
                <c:pt idx="2">
                  <c:v>16</c:v>
                </c:pt>
                <c:pt idx="3">
                  <c:v>9</c:v>
                </c:pt>
              </c:numCache>
            </c:numRef>
          </c:val>
        </c:ser>
        <c:gapWidth val="150"/>
        <c:overlap val="0"/>
        <c:axId val="65230063"/>
        <c:axId val="47189966"/>
      </c:barChart>
      <c:catAx>
        <c:axId val="652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89966"/>
        <c:crosses val="autoZero"/>
        <c:auto val="1"/>
        <c:lblAlgn val="ctr"/>
        <c:lblOffset val="100"/>
        <c:noMultiLvlLbl val="0"/>
      </c:catAx>
      <c:valAx>
        <c:axId val="47189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30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186840</xdr:colOff>
      <xdr:row>84</xdr:row>
      <xdr:rowOff>28080</xdr:rowOff>
    </xdr:to>
    <xdr:graphicFrame>
      <xdr:nvGraphicFramePr>
        <xdr:cNvPr id="0" name="Chart 1"/>
        <xdr:cNvGraphicFramePr/>
      </xdr:nvGraphicFramePr>
      <xdr:xfrm>
        <a:off x="211320" y="190440"/>
        <a:ext cx="9359640" cy="158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1</xdr:row>
      <xdr:rowOff>0</xdr:rowOff>
    </xdr:from>
    <xdr:to>
      <xdr:col>33</xdr:col>
      <xdr:colOff>187200</xdr:colOff>
      <xdr:row>84</xdr:row>
      <xdr:rowOff>28080</xdr:rowOff>
    </xdr:to>
    <xdr:graphicFrame>
      <xdr:nvGraphicFramePr>
        <xdr:cNvPr id="1" name="Chart 2"/>
        <xdr:cNvGraphicFramePr/>
      </xdr:nvGraphicFramePr>
      <xdr:xfrm>
        <a:off x="10607040" y="190440"/>
        <a:ext cx="9359640" cy="158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91</xdr:row>
      <xdr:rowOff>0</xdr:rowOff>
    </xdr:from>
    <xdr:to>
      <xdr:col>16</xdr:col>
      <xdr:colOff>186840</xdr:colOff>
      <xdr:row>111</xdr:row>
      <xdr:rowOff>149400</xdr:rowOff>
    </xdr:to>
    <xdr:graphicFrame>
      <xdr:nvGraphicFramePr>
        <xdr:cNvPr id="2" name="Chart 3"/>
        <xdr:cNvGraphicFramePr/>
      </xdr:nvGraphicFramePr>
      <xdr:xfrm>
        <a:off x="211320" y="1733544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91</xdr:row>
      <xdr:rowOff>0</xdr:rowOff>
    </xdr:from>
    <xdr:to>
      <xdr:col>26</xdr:col>
      <xdr:colOff>147600</xdr:colOff>
      <xdr:row>109</xdr:row>
      <xdr:rowOff>170640</xdr:rowOff>
    </xdr:to>
    <xdr:graphicFrame>
      <xdr:nvGraphicFramePr>
        <xdr:cNvPr id="3" name="Chart 4"/>
        <xdr:cNvGraphicFramePr/>
      </xdr:nvGraphicFramePr>
      <xdr:xfrm>
        <a:off x="10607040" y="17335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112</xdr:row>
      <xdr:rowOff>0</xdr:rowOff>
    </xdr:from>
    <xdr:to>
      <xdr:col>26</xdr:col>
      <xdr:colOff>147600</xdr:colOff>
      <xdr:row>130</xdr:row>
      <xdr:rowOff>170640</xdr:rowOff>
    </xdr:to>
    <xdr:graphicFrame>
      <xdr:nvGraphicFramePr>
        <xdr:cNvPr id="4" name="Chart 5"/>
        <xdr:cNvGraphicFramePr/>
      </xdr:nvGraphicFramePr>
      <xdr:xfrm>
        <a:off x="10607040" y="213361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133</xdr:row>
      <xdr:rowOff>0</xdr:rowOff>
    </xdr:from>
    <xdr:to>
      <xdr:col>26</xdr:col>
      <xdr:colOff>147600</xdr:colOff>
      <xdr:row>151</xdr:row>
      <xdr:rowOff>170640</xdr:rowOff>
    </xdr:to>
    <xdr:graphicFrame>
      <xdr:nvGraphicFramePr>
        <xdr:cNvPr id="5" name="Chart 6"/>
        <xdr:cNvGraphicFramePr/>
      </xdr:nvGraphicFramePr>
      <xdr:xfrm>
        <a:off x="10607040" y="25336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112</xdr:row>
      <xdr:rowOff>0</xdr:rowOff>
    </xdr:from>
    <xdr:to>
      <xdr:col>9</xdr:col>
      <xdr:colOff>147600</xdr:colOff>
      <xdr:row>130</xdr:row>
      <xdr:rowOff>170640</xdr:rowOff>
    </xdr:to>
    <xdr:graphicFrame>
      <xdr:nvGraphicFramePr>
        <xdr:cNvPr id="6" name="Chart 7"/>
        <xdr:cNvGraphicFramePr/>
      </xdr:nvGraphicFramePr>
      <xdr:xfrm>
        <a:off x="211320" y="213361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133</xdr:row>
      <xdr:rowOff>0</xdr:rowOff>
    </xdr:from>
    <xdr:to>
      <xdr:col>9</xdr:col>
      <xdr:colOff>147600</xdr:colOff>
      <xdr:row>151</xdr:row>
      <xdr:rowOff>170640</xdr:rowOff>
    </xdr:to>
    <xdr:graphicFrame>
      <xdr:nvGraphicFramePr>
        <xdr:cNvPr id="7" name="Chart 8"/>
        <xdr:cNvGraphicFramePr/>
      </xdr:nvGraphicFramePr>
      <xdr:xfrm>
        <a:off x="211320" y="25336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154</xdr:row>
      <xdr:rowOff>0</xdr:rowOff>
    </xdr:from>
    <xdr:to>
      <xdr:col>9</xdr:col>
      <xdr:colOff>147600</xdr:colOff>
      <xdr:row>172</xdr:row>
      <xdr:rowOff>170640</xdr:rowOff>
    </xdr:to>
    <xdr:graphicFrame>
      <xdr:nvGraphicFramePr>
        <xdr:cNvPr id="8" name="Chart 9"/>
        <xdr:cNvGraphicFramePr/>
      </xdr:nvGraphicFramePr>
      <xdr:xfrm>
        <a:off x="211320" y="293371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98" min="3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5" hidden="false" customHeight="false" outlineLevel="0" collapsed="false">
      <c r="A2" s="2" t="n">
        <v>1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/>
      <c r="L2" s="2"/>
      <c r="M2" s="2" t="s">
        <v>107</v>
      </c>
      <c r="N2" s="2" t="s">
        <v>108</v>
      </c>
      <c r="O2" s="2"/>
      <c r="P2" s="2" t="s">
        <v>109</v>
      </c>
      <c r="Q2" s="2" t="s">
        <v>110</v>
      </c>
      <c r="R2" s="2" t="s">
        <v>109</v>
      </c>
      <c r="S2" s="2" t="s">
        <v>111</v>
      </c>
      <c r="T2" s="2" t="n">
        <v>0</v>
      </c>
      <c r="U2" s="2" t="n">
        <v>1</v>
      </c>
      <c r="V2" s="2" t="n">
        <v>0</v>
      </c>
      <c r="W2" s="2" t="n">
        <v>1</v>
      </c>
      <c r="X2" s="2" t="s">
        <v>112</v>
      </c>
      <c r="Y2" s="2"/>
      <c r="Z2" s="2"/>
      <c r="AA2" s="2"/>
      <c r="AB2" s="2" t="n">
        <v>4</v>
      </c>
      <c r="AC2" s="2" t="n">
        <v>5</v>
      </c>
      <c r="AD2" s="2" t="n">
        <v>4</v>
      </c>
      <c r="AE2" s="2" t="n">
        <v>4</v>
      </c>
      <c r="AF2" s="2" t="n">
        <v>3</v>
      </c>
      <c r="AG2" s="2" t="n">
        <v>2</v>
      </c>
      <c r="AH2" s="2" t="n">
        <v>0</v>
      </c>
      <c r="AI2" s="2" t="n">
        <v>0</v>
      </c>
      <c r="AJ2" s="2" t="n">
        <v>1</v>
      </c>
      <c r="AK2" s="2" t="n">
        <v>0</v>
      </c>
      <c r="AL2" s="2" t="n">
        <v>0</v>
      </c>
      <c r="AM2" s="2" t="n">
        <v>0</v>
      </c>
      <c r="AN2" s="2" t="s">
        <v>113</v>
      </c>
      <c r="AO2" s="2" t="n">
        <v>1</v>
      </c>
      <c r="AP2" s="2" t="n">
        <v>5</v>
      </c>
      <c r="AQ2" s="2" t="n">
        <v>3</v>
      </c>
      <c r="AR2" s="2" t="n">
        <v>4</v>
      </c>
      <c r="AS2" s="2" t="n">
        <v>4</v>
      </c>
      <c r="AT2" s="2" t="n">
        <v>4</v>
      </c>
      <c r="AU2" s="2" t="n">
        <v>2</v>
      </c>
      <c r="AV2" s="2" t="n">
        <v>0</v>
      </c>
      <c r="AW2" s="2" t="n">
        <v>0</v>
      </c>
      <c r="AX2" s="2" t="n">
        <v>0</v>
      </c>
      <c r="AY2" s="2" t="n">
        <v>1</v>
      </c>
      <c r="AZ2" s="2" t="n">
        <v>0</v>
      </c>
      <c r="BA2" s="2" t="s">
        <v>114</v>
      </c>
      <c r="BB2" s="2" t="s">
        <v>115</v>
      </c>
      <c r="BC2" s="2" t="n">
        <v>3</v>
      </c>
      <c r="BD2" s="2" t="n">
        <v>2</v>
      </c>
      <c r="BE2" s="2" t="n">
        <v>2</v>
      </c>
      <c r="BF2" s="2" t="n">
        <v>4</v>
      </c>
      <c r="BG2" s="2" t="n">
        <v>5</v>
      </c>
      <c r="BH2" s="2" t="n">
        <v>4</v>
      </c>
      <c r="BI2" s="2" t="n">
        <v>2</v>
      </c>
      <c r="BJ2" s="2" t="n">
        <v>3</v>
      </c>
      <c r="BK2" s="2" t="n">
        <v>5</v>
      </c>
      <c r="BL2" s="2" t="n">
        <v>3</v>
      </c>
      <c r="BM2" s="2" t="n">
        <v>4</v>
      </c>
      <c r="BN2" s="2" t="n">
        <v>4</v>
      </c>
      <c r="BO2" s="2" t="n">
        <v>5</v>
      </c>
      <c r="BP2" s="2" t="n">
        <v>3</v>
      </c>
      <c r="BQ2" s="2" t="n">
        <v>4</v>
      </c>
      <c r="BR2" s="2" t="n">
        <v>4</v>
      </c>
      <c r="BS2" s="2" t="n">
        <v>3</v>
      </c>
      <c r="BT2" s="2" t="n">
        <v>3</v>
      </c>
      <c r="BU2" s="2" t="n">
        <v>3</v>
      </c>
      <c r="BV2" s="2" t="n">
        <v>5</v>
      </c>
      <c r="BW2" s="2" t="n">
        <v>4</v>
      </c>
      <c r="BX2" s="2" t="n">
        <v>3</v>
      </c>
      <c r="BY2" s="2" t="n">
        <v>2</v>
      </c>
      <c r="BZ2" s="2" t="n">
        <v>4</v>
      </c>
      <c r="CA2" s="2" t="s">
        <v>116</v>
      </c>
      <c r="CB2" s="2" t="n">
        <v>0</v>
      </c>
      <c r="CC2" s="2" t="n">
        <v>1</v>
      </c>
      <c r="CD2" s="2" t="n">
        <v>0</v>
      </c>
      <c r="CE2" s="2" t="n">
        <v>0</v>
      </c>
      <c r="CF2" s="2" t="s">
        <v>117</v>
      </c>
      <c r="CG2" s="2" t="n">
        <v>3</v>
      </c>
      <c r="CH2" s="2" t="n">
        <v>2</v>
      </c>
      <c r="CI2" s="2" t="n">
        <v>3</v>
      </c>
      <c r="CJ2" s="2" t="n">
        <v>5</v>
      </c>
      <c r="CK2" s="2" t="s">
        <v>118</v>
      </c>
      <c r="CL2" s="2" t="s">
        <v>119</v>
      </c>
      <c r="CM2" s="2" t="s">
        <v>120</v>
      </c>
      <c r="CN2" s="2" t="s">
        <v>121</v>
      </c>
      <c r="CO2" s="2"/>
      <c r="CP2" s="2" t="s">
        <v>121</v>
      </c>
      <c r="CQ2" s="2" t="s">
        <v>122</v>
      </c>
      <c r="CR2" s="2"/>
      <c r="CS2" s="2"/>
      <c r="CT2" s="2"/>
    </row>
    <row r="3" customFormat="false" ht="15" hidden="false" customHeight="false" outlineLevel="0" collapsed="false">
      <c r="A3" s="2" t="n">
        <v>2</v>
      </c>
      <c r="B3" s="2" t="s">
        <v>123</v>
      </c>
      <c r="C3" s="2" t="s">
        <v>124</v>
      </c>
      <c r="D3" s="2" t="s">
        <v>100</v>
      </c>
      <c r="E3" s="2" t="s">
        <v>125</v>
      </c>
      <c r="F3" s="2"/>
      <c r="G3" s="2" t="s">
        <v>103</v>
      </c>
      <c r="H3" s="2" t="s">
        <v>126</v>
      </c>
      <c r="I3" s="2" t="s">
        <v>127</v>
      </c>
      <c r="J3" s="2" t="s">
        <v>128</v>
      </c>
      <c r="K3" s="2"/>
      <c r="L3" s="2" t="s">
        <v>129</v>
      </c>
      <c r="M3" s="2" t="s">
        <v>130</v>
      </c>
      <c r="N3" s="2" t="s">
        <v>108</v>
      </c>
      <c r="O3" s="2"/>
      <c r="P3" s="2" t="s">
        <v>109</v>
      </c>
      <c r="Q3" s="2" t="s">
        <v>131</v>
      </c>
      <c r="R3" s="2" t="s">
        <v>109</v>
      </c>
      <c r="S3" s="2" t="s">
        <v>132</v>
      </c>
      <c r="T3" s="2" t="n">
        <v>0</v>
      </c>
      <c r="U3" s="2" t="n">
        <v>1</v>
      </c>
      <c r="V3" s="2" t="n">
        <v>0</v>
      </c>
      <c r="W3" s="2" t="n">
        <v>1</v>
      </c>
      <c r="X3" s="2" t="s">
        <v>112</v>
      </c>
      <c r="Y3" s="2" t="n">
        <v>1</v>
      </c>
      <c r="Z3" s="2" t="n">
        <v>5</v>
      </c>
      <c r="AA3" s="2" t="n">
        <v>4</v>
      </c>
      <c r="AB3" s="2" t="n">
        <v>5</v>
      </c>
      <c r="AC3" s="2" t="n">
        <v>2</v>
      </c>
      <c r="AD3" s="2" t="n">
        <v>1</v>
      </c>
      <c r="AE3" s="2" t="n">
        <v>4</v>
      </c>
      <c r="AF3" s="2" t="n">
        <v>3</v>
      </c>
      <c r="AG3" s="2" t="n">
        <v>3</v>
      </c>
      <c r="AH3" s="2" t="n">
        <v>0</v>
      </c>
      <c r="AI3" s="2" t="n">
        <v>0</v>
      </c>
      <c r="AJ3" s="2" t="n">
        <v>0</v>
      </c>
      <c r="AK3" s="2" t="n">
        <v>1</v>
      </c>
      <c r="AL3" s="2" t="n">
        <v>0</v>
      </c>
      <c r="AM3" s="2" t="n">
        <v>1</v>
      </c>
      <c r="AN3" s="2" t="s">
        <v>133</v>
      </c>
      <c r="AO3" s="2" t="n">
        <v>4</v>
      </c>
      <c r="AP3" s="2" t="n">
        <v>5</v>
      </c>
      <c r="AQ3" s="2" t="n">
        <v>3</v>
      </c>
      <c r="AR3" s="2" t="n">
        <v>4</v>
      </c>
      <c r="AS3" s="2" t="n">
        <v>3</v>
      </c>
      <c r="AT3" s="2" t="n">
        <v>2</v>
      </c>
      <c r="AU3" s="2" t="n">
        <v>2</v>
      </c>
      <c r="AV3" s="2" t="n">
        <v>0</v>
      </c>
      <c r="AW3" s="2" t="n">
        <v>0</v>
      </c>
      <c r="AX3" s="2" t="n">
        <v>0</v>
      </c>
      <c r="AY3" s="2" t="n">
        <v>1</v>
      </c>
      <c r="AZ3" s="2" t="n">
        <v>1</v>
      </c>
      <c r="BA3" s="2" t="s">
        <v>134</v>
      </c>
      <c r="BB3" s="2" t="s">
        <v>135</v>
      </c>
      <c r="BC3" s="2" t="n">
        <v>3</v>
      </c>
      <c r="BD3" s="2" t="n">
        <v>3</v>
      </c>
      <c r="BE3" s="2" t="n">
        <v>1</v>
      </c>
      <c r="BF3" s="2" t="n">
        <v>4</v>
      </c>
      <c r="BG3" s="2" t="n">
        <v>4</v>
      </c>
      <c r="BH3" s="2" t="n">
        <v>4</v>
      </c>
      <c r="BI3" s="2" t="n">
        <v>5</v>
      </c>
      <c r="BJ3" s="2" t="n">
        <v>2</v>
      </c>
      <c r="BK3" s="2" t="n">
        <v>4</v>
      </c>
      <c r="BL3" s="2" t="n">
        <v>2</v>
      </c>
      <c r="BM3" s="2" t="n">
        <v>5</v>
      </c>
      <c r="BN3" s="2" t="n">
        <v>2</v>
      </c>
      <c r="BO3" s="2" t="n">
        <v>3</v>
      </c>
      <c r="BP3" s="2" t="n">
        <v>3</v>
      </c>
      <c r="BQ3" s="2"/>
      <c r="BR3" s="2" t="n">
        <v>2</v>
      </c>
      <c r="BS3" s="2" t="n">
        <v>4</v>
      </c>
      <c r="BT3" s="2" t="n">
        <v>4</v>
      </c>
      <c r="BU3" s="2" t="n">
        <v>5</v>
      </c>
      <c r="BV3" s="2" t="n">
        <v>1</v>
      </c>
      <c r="BW3" s="2" t="n">
        <v>3</v>
      </c>
      <c r="BX3" s="2" t="n">
        <v>4</v>
      </c>
      <c r="BY3" s="2"/>
      <c r="BZ3" s="2" t="n">
        <v>3</v>
      </c>
      <c r="CA3" s="2" t="s">
        <v>136</v>
      </c>
      <c r="CB3" s="2" t="n">
        <v>0</v>
      </c>
      <c r="CC3" s="2" t="n">
        <v>0</v>
      </c>
      <c r="CD3" s="2" t="n">
        <v>1</v>
      </c>
      <c r="CE3" s="2" t="n">
        <v>0</v>
      </c>
      <c r="CF3" s="2" t="s">
        <v>137</v>
      </c>
      <c r="CG3" s="2" t="n">
        <v>4</v>
      </c>
      <c r="CH3" s="2" t="n">
        <v>3</v>
      </c>
      <c r="CI3" s="2" t="n">
        <v>3</v>
      </c>
      <c r="CJ3" s="2" t="n">
        <v>3</v>
      </c>
      <c r="CK3" s="2" t="s">
        <v>138</v>
      </c>
      <c r="CL3" s="2" t="s">
        <v>139</v>
      </c>
      <c r="CM3" s="2" t="s">
        <v>140</v>
      </c>
      <c r="CN3" s="2"/>
      <c r="CO3" s="2" t="s">
        <v>122</v>
      </c>
      <c r="CP3" s="2" t="s">
        <v>122</v>
      </c>
      <c r="CQ3" s="2"/>
      <c r="CR3" s="2" t="s">
        <v>141</v>
      </c>
      <c r="CS3" s="2"/>
      <c r="CT3" s="2"/>
    </row>
    <row r="4" customFormat="false" ht="15" hidden="false" customHeight="false" outlineLevel="0" collapsed="false">
      <c r="A4" s="2" t="n">
        <v>3</v>
      </c>
      <c r="B4" s="2" t="s">
        <v>142</v>
      </c>
      <c r="C4" s="2" t="s">
        <v>143</v>
      </c>
      <c r="D4" s="2" t="s">
        <v>100</v>
      </c>
      <c r="E4" s="2" t="s">
        <v>144</v>
      </c>
      <c r="F4" s="2" t="s">
        <v>102</v>
      </c>
      <c r="G4" s="2" t="s">
        <v>103</v>
      </c>
      <c r="H4" s="2" t="s">
        <v>126</v>
      </c>
      <c r="I4" s="2" t="s">
        <v>145</v>
      </c>
      <c r="J4" s="2" t="s">
        <v>146</v>
      </c>
      <c r="K4" s="2"/>
      <c r="L4" s="2" t="s">
        <v>147</v>
      </c>
      <c r="M4" s="2"/>
      <c r="N4" s="2" t="s">
        <v>108</v>
      </c>
      <c r="O4" s="2"/>
      <c r="P4" s="2"/>
      <c r="Q4" s="2" t="s">
        <v>148</v>
      </c>
      <c r="R4" s="2" t="s">
        <v>149</v>
      </c>
      <c r="S4" s="2" t="s">
        <v>111</v>
      </c>
      <c r="T4" s="2" t="n">
        <v>1</v>
      </c>
      <c r="U4" s="2" t="n">
        <v>0</v>
      </c>
      <c r="V4" s="2" t="n">
        <v>0</v>
      </c>
      <c r="W4" s="2" t="n">
        <v>1</v>
      </c>
      <c r="X4" s="2" t="s">
        <v>150</v>
      </c>
      <c r="Y4" s="2"/>
      <c r="Z4" s="2"/>
      <c r="AA4" s="2"/>
      <c r="AB4" s="2" t="n">
        <v>3</v>
      </c>
      <c r="AC4" s="2" t="n">
        <v>1</v>
      </c>
      <c r="AD4" s="2" t="n">
        <v>2</v>
      </c>
      <c r="AE4" s="2" t="n">
        <v>4</v>
      </c>
      <c r="AF4" s="2" t="n">
        <v>5</v>
      </c>
      <c r="AG4" s="2" t="n">
        <v>4</v>
      </c>
      <c r="AH4" s="2" t="n">
        <v>1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s">
        <v>151</v>
      </c>
      <c r="AO4" s="2" t="n">
        <v>5</v>
      </c>
      <c r="AP4" s="2" t="n">
        <v>3</v>
      </c>
      <c r="AQ4" s="2" t="n">
        <v>5</v>
      </c>
      <c r="AR4" s="2" t="n">
        <v>4</v>
      </c>
      <c r="AS4" s="2" t="n">
        <v>5</v>
      </c>
      <c r="AT4" s="2" t="n">
        <v>3</v>
      </c>
      <c r="AU4" s="2" t="n">
        <v>3</v>
      </c>
      <c r="AV4" s="2" t="n">
        <v>1</v>
      </c>
      <c r="AW4" s="2" t="n">
        <v>0</v>
      </c>
      <c r="AX4" s="2" t="n">
        <v>0</v>
      </c>
      <c r="AY4" s="2" t="n">
        <v>0</v>
      </c>
      <c r="AZ4" s="2" t="n">
        <v>1</v>
      </c>
      <c r="BA4" s="2" t="s">
        <v>152</v>
      </c>
      <c r="BB4" s="2"/>
      <c r="BC4" s="2" t="n">
        <v>1</v>
      </c>
      <c r="BD4" s="2" t="n">
        <v>4</v>
      </c>
      <c r="BE4" s="2" t="n">
        <v>5</v>
      </c>
      <c r="BF4" s="2" t="n">
        <v>2</v>
      </c>
      <c r="BG4" s="2" t="n">
        <v>5</v>
      </c>
      <c r="BH4" s="2" t="n">
        <v>4</v>
      </c>
      <c r="BI4" s="2" t="n">
        <v>2</v>
      </c>
      <c r="BJ4" s="2" t="n">
        <v>1</v>
      </c>
      <c r="BK4" s="2" t="n">
        <v>3</v>
      </c>
      <c r="BL4" s="2" t="n">
        <v>3</v>
      </c>
      <c r="BM4" s="2" t="n">
        <v>5</v>
      </c>
      <c r="BN4" s="2" t="n">
        <v>2</v>
      </c>
      <c r="BO4" s="2" t="n">
        <v>3</v>
      </c>
      <c r="BP4" s="2" t="n">
        <v>4</v>
      </c>
      <c r="BQ4" s="2" t="n">
        <v>5</v>
      </c>
      <c r="BR4" s="2" t="n">
        <v>3</v>
      </c>
      <c r="BS4" s="2" t="n">
        <v>2</v>
      </c>
      <c r="BT4" s="2" t="n">
        <v>3</v>
      </c>
      <c r="BU4" s="2" t="n">
        <v>4</v>
      </c>
      <c r="BV4" s="2" t="n">
        <v>4</v>
      </c>
      <c r="BW4" s="2" t="n">
        <v>5</v>
      </c>
      <c r="BX4" s="2" t="n">
        <v>4</v>
      </c>
      <c r="BY4" s="2" t="n">
        <v>5</v>
      </c>
      <c r="BZ4" s="2" t="n">
        <v>5</v>
      </c>
      <c r="CA4" s="2" t="s">
        <v>136</v>
      </c>
      <c r="CB4" s="2" t="n">
        <v>0</v>
      </c>
      <c r="CC4" s="2" t="n">
        <v>1</v>
      </c>
      <c r="CD4" s="2" t="n">
        <v>1</v>
      </c>
      <c r="CE4" s="2" t="n">
        <v>0</v>
      </c>
      <c r="CF4" s="2" t="s">
        <v>153</v>
      </c>
      <c r="CG4" s="2" t="n">
        <v>3</v>
      </c>
      <c r="CH4" s="2" t="n">
        <v>4</v>
      </c>
      <c r="CI4" s="2" t="n">
        <v>4</v>
      </c>
      <c r="CJ4" s="2" t="n">
        <v>2</v>
      </c>
      <c r="CK4" s="2" t="s">
        <v>138</v>
      </c>
      <c r="CL4" s="2" t="s">
        <v>154</v>
      </c>
      <c r="CM4" s="2" t="s">
        <v>140</v>
      </c>
      <c r="CN4" s="2" t="s">
        <v>121</v>
      </c>
      <c r="CO4" s="2" t="s">
        <v>122</v>
      </c>
      <c r="CP4" s="2" t="s">
        <v>122</v>
      </c>
      <c r="CQ4" s="2" t="s">
        <v>122</v>
      </c>
      <c r="CR4" s="2" t="s">
        <v>141</v>
      </c>
      <c r="CS4" s="2"/>
      <c r="CT4" s="2"/>
    </row>
    <row r="5" customFormat="false" ht="15" hidden="false" customHeight="false" outlineLevel="0" collapsed="false">
      <c r="A5" s="2" t="n">
        <v>4</v>
      </c>
      <c r="B5" s="2" t="s">
        <v>155</v>
      </c>
      <c r="C5" s="2" t="s">
        <v>156</v>
      </c>
      <c r="D5" s="2" t="s">
        <v>157</v>
      </c>
      <c r="E5" s="2" t="s">
        <v>158</v>
      </c>
      <c r="F5" s="2" t="s">
        <v>102</v>
      </c>
      <c r="G5" s="2"/>
      <c r="H5" s="2" t="s">
        <v>159</v>
      </c>
      <c r="I5" s="2" t="s">
        <v>160</v>
      </c>
      <c r="J5" s="2" t="s">
        <v>146</v>
      </c>
      <c r="K5" s="2"/>
      <c r="L5" s="2" t="s">
        <v>147</v>
      </c>
      <c r="M5" s="2" t="s">
        <v>161</v>
      </c>
      <c r="N5" s="2" t="s">
        <v>108</v>
      </c>
      <c r="O5" s="2"/>
      <c r="P5" s="2" t="s">
        <v>109</v>
      </c>
      <c r="Q5" s="2" t="s">
        <v>131</v>
      </c>
      <c r="R5" s="2" t="s">
        <v>149</v>
      </c>
      <c r="S5" s="2" t="s">
        <v>162</v>
      </c>
      <c r="T5" s="2" t="n">
        <v>0</v>
      </c>
      <c r="U5" s="2" t="n">
        <v>1</v>
      </c>
      <c r="V5" s="2" t="n">
        <v>0</v>
      </c>
      <c r="W5" s="2" t="n">
        <v>1</v>
      </c>
      <c r="X5" s="2" t="s">
        <v>112</v>
      </c>
      <c r="Y5" s="2"/>
      <c r="Z5" s="2"/>
      <c r="AA5" s="2"/>
      <c r="AB5" s="2" t="n">
        <v>5</v>
      </c>
      <c r="AC5" s="2" t="n">
        <v>5</v>
      </c>
      <c r="AD5" s="2" t="n">
        <v>3</v>
      </c>
      <c r="AE5" s="2" t="n">
        <v>1</v>
      </c>
      <c r="AF5" s="2" t="n">
        <v>2</v>
      </c>
      <c r="AG5" s="2" t="n">
        <v>2</v>
      </c>
      <c r="AH5" s="2" t="n">
        <v>1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1</v>
      </c>
      <c r="AN5" s="2" t="s">
        <v>163</v>
      </c>
      <c r="AO5" s="2" t="n">
        <v>3</v>
      </c>
      <c r="AP5" s="2" t="n">
        <v>4</v>
      </c>
      <c r="AQ5" s="2" t="n">
        <v>3</v>
      </c>
      <c r="AR5" s="2" t="n">
        <v>2</v>
      </c>
      <c r="AS5" s="2" t="n">
        <v>2</v>
      </c>
      <c r="AT5" s="2" t="n">
        <v>2</v>
      </c>
      <c r="AU5" s="2" t="n">
        <v>4</v>
      </c>
      <c r="AV5" s="2" t="n">
        <v>0</v>
      </c>
      <c r="AW5" s="2" t="n">
        <v>0</v>
      </c>
      <c r="AX5" s="2" t="n">
        <v>1</v>
      </c>
      <c r="AY5" s="2" t="n">
        <v>1</v>
      </c>
      <c r="AZ5" s="2" t="n">
        <v>0</v>
      </c>
      <c r="BA5" s="2" t="s">
        <v>164</v>
      </c>
      <c r="BB5" s="2" t="s">
        <v>165</v>
      </c>
      <c r="BC5" s="2" t="n">
        <v>5</v>
      </c>
      <c r="BD5" s="2" t="n">
        <v>2</v>
      </c>
      <c r="BE5" s="2" t="n">
        <v>2</v>
      </c>
      <c r="BF5" s="2" t="n">
        <v>4</v>
      </c>
      <c r="BG5" s="2" t="n">
        <v>4</v>
      </c>
      <c r="BH5" s="2" t="n">
        <v>3</v>
      </c>
      <c r="BI5" s="2" t="n">
        <v>3</v>
      </c>
      <c r="BJ5" s="2"/>
      <c r="BK5" s="2" t="n">
        <v>2</v>
      </c>
      <c r="BL5" s="2" t="n">
        <v>4</v>
      </c>
      <c r="BM5" s="2" t="n">
        <v>1</v>
      </c>
      <c r="BN5" s="2" t="n">
        <v>2</v>
      </c>
      <c r="BO5" s="2" t="n">
        <v>3</v>
      </c>
      <c r="BP5" s="2" t="n">
        <v>1</v>
      </c>
      <c r="BQ5" s="2" t="n">
        <v>3</v>
      </c>
      <c r="BR5" s="2"/>
      <c r="BS5" s="2" t="n">
        <v>2</v>
      </c>
      <c r="BT5" s="2" t="n">
        <v>3</v>
      </c>
      <c r="BU5" s="2" t="n">
        <v>5</v>
      </c>
      <c r="BV5" s="2" t="n">
        <v>4</v>
      </c>
      <c r="BW5" s="2" t="n">
        <v>3</v>
      </c>
      <c r="BX5" s="2" t="n">
        <v>5</v>
      </c>
      <c r="BY5" s="2" t="n">
        <v>5</v>
      </c>
      <c r="BZ5" s="2" t="n">
        <v>4</v>
      </c>
      <c r="CA5" s="2" t="s">
        <v>136</v>
      </c>
      <c r="CB5" s="2" t="n">
        <v>0</v>
      </c>
      <c r="CC5" s="2" t="n">
        <v>0</v>
      </c>
      <c r="CD5" s="2" t="n">
        <v>0</v>
      </c>
      <c r="CE5" s="2" t="n">
        <v>1</v>
      </c>
      <c r="CF5" s="2" t="s">
        <v>166</v>
      </c>
      <c r="CG5" s="2" t="n">
        <v>2</v>
      </c>
      <c r="CH5" s="2" t="n">
        <v>5</v>
      </c>
      <c r="CI5" s="2" t="n">
        <v>3</v>
      </c>
      <c r="CJ5" s="2" t="n">
        <v>2</v>
      </c>
      <c r="CK5" s="2" t="s">
        <v>167</v>
      </c>
      <c r="CL5" s="2" t="s">
        <v>139</v>
      </c>
      <c r="CM5" s="2" t="s">
        <v>168</v>
      </c>
      <c r="CN5" s="2"/>
      <c r="CO5" s="2"/>
      <c r="CP5" s="2" t="s">
        <v>121</v>
      </c>
      <c r="CQ5" s="2"/>
      <c r="CR5" s="2" t="s">
        <v>141</v>
      </c>
      <c r="CS5" s="2"/>
      <c r="CT5" s="2"/>
    </row>
    <row r="6" customFormat="false" ht="15" hidden="false" customHeight="false" outlineLevel="0" collapsed="false">
      <c r="A6" s="2" t="n">
        <v>5</v>
      </c>
      <c r="B6" s="2" t="s">
        <v>169</v>
      </c>
      <c r="C6" s="2" t="s">
        <v>170</v>
      </c>
      <c r="D6" s="2" t="s">
        <v>157</v>
      </c>
      <c r="E6" s="2" t="s">
        <v>171</v>
      </c>
      <c r="F6" s="2" t="s">
        <v>102</v>
      </c>
      <c r="G6" s="2" t="s">
        <v>103</v>
      </c>
      <c r="H6" s="2" t="s">
        <v>159</v>
      </c>
      <c r="I6" s="2" t="s">
        <v>105</v>
      </c>
      <c r="J6" s="2" t="s">
        <v>128</v>
      </c>
      <c r="K6" s="2"/>
      <c r="L6" s="2" t="s">
        <v>172</v>
      </c>
      <c r="M6" s="2" t="s">
        <v>130</v>
      </c>
      <c r="N6" s="2" t="s">
        <v>167</v>
      </c>
      <c r="O6" s="2"/>
      <c r="P6" s="2" t="s">
        <v>109</v>
      </c>
      <c r="Q6" s="2"/>
      <c r="R6" s="2" t="s">
        <v>109</v>
      </c>
      <c r="S6" s="2" t="s">
        <v>111</v>
      </c>
      <c r="T6" s="2" t="n">
        <v>1</v>
      </c>
      <c r="U6" s="2" t="n">
        <v>0</v>
      </c>
      <c r="V6" s="2" t="n">
        <v>1</v>
      </c>
      <c r="W6" s="2" t="n">
        <v>0</v>
      </c>
      <c r="X6" s="2" t="s">
        <v>173</v>
      </c>
      <c r="Y6" s="2" t="n">
        <v>3</v>
      </c>
      <c r="Z6" s="2" t="n">
        <v>2</v>
      </c>
      <c r="AA6" s="2" t="n">
        <v>4</v>
      </c>
      <c r="AB6" s="2" t="n">
        <v>5</v>
      </c>
      <c r="AC6" s="2" t="n">
        <v>4</v>
      </c>
      <c r="AD6" s="2"/>
      <c r="AE6" s="2" t="n">
        <v>5</v>
      </c>
      <c r="AF6" s="2" t="n">
        <v>3</v>
      </c>
      <c r="AG6" s="2"/>
      <c r="AH6" s="2" t="n">
        <v>0</v>
      </c>
      <c r="AI6" s="2" t="n">
        <v>0</v>
      </c>
      <c r="AJ6" s="2" t="n">
        <v>0</v>
      </c>
      <c r="AK6" s="2" t="n">
        <v>1</v>
      </c>
      <c r="AL6" s="2" t="n">
        <v>1</v>
      </c>
      <c r="AM6" s="2" t="n">
        <v>0</v>
      </c>
      <c r="AN6" s="2" t="s">
        <v>174</v>
      </c>
      <c r="AO6" s="2" t="n">
        <v>3</v>
      </c>
      <c r="AP6" s="2" t="n">
        <v>5</v>
      </c>
      <c r="AQ6" s="2"/>
      <c r="AR6" s="2" t="n">
        <v>4</v>
      </c>
      <c r="AS6" s="2" t="n">
        <v>3</v>
      </c>
      <c r="AT6" s="2" t="n">
        <v>5</v>
      </c>
      <c r="AU6" s="2" t="n">
        <v>3</v>
      </c>
      <c r="AV6" s="2" t="n">
        <v>0</v>
      </c>
      <c r="AW6" s="2" t="n">
        <v>1</v>
      </c>
      <c r="AX6" s="2" t="n">
        <v>0</v>
      </c>
      <c r="AY6" s="2" t="n">
        <v>0</v>
      </c>
      <c r="AZ6" s="2" t="n">
        <v>0</v>
      </c>
      <c r="BA6" s="2" t="s">
        <v>175</v>
      </c>
      <c r="BB6" s="2" t="s">
        <v>135</v>
      </c>
      <c r="BC6" s="2" t="n">
        <v>3</v>
      </c>
      <c r="BD6" s="2" t="n">
        <v>2</v>
      </c>
      <c r="BE6" s="2"/>
      <c r="BF6" s="2" t="n">
        <v>5</v>
      </c>
      <c r="BG6" s="2" t="n">
        <v>2</v>
      </c>
      <c r="BH6" s="2" t="n">
        <v>4</v>
      </c>
      <c r="BI6" s="2" t="n">
        <v>5</v>
      </c>
      <c r="BJ6" s="2"/>
      <c r="BK6" s="2" t="n">
        <v>4</v>
      </c>
      <c r="BL6" s="2" t="n">
        <v>2</v>
      </c>
      <c r="BM6" s="2" t="n">
        <v>2</v>
      </c>
      <c r="BN6" s="2" t="n">
        <v>3</v>
      </c>
      <c r="BO6" s="2" t="n">
        <v>5</v>
      </c>
      <c r="BP6" s="2" t="n">
        <v>4</v>
      </c>
      <c r="BQ6" s="2" t="n">
        <v>5</v>
      </c>
      <c r="BR6" s="2" t="n">
        <v>3</v>
      </c>
      <c r="BS6" s="2" t="n">
        <v>2</v>
      </c>
      <c r="BT6" s="2" t="n">
        <v>2</v>
      </c>
      <c r="BU6" s="2" t="n">
        <v>2</v>
      </c>
      <c r="BV6" s="2" t="n">
        <v>2</v>
      </c>
      <c r="BW6" s="2" t="n">
        <v>3</v>
      </c>
      <c r="BX6" s="2" t="n">
        <v>5</v>
      </c>
      <c r="BY6" s="2" t="n">
        <v>1</v>
      </c>
      <c r="BZ6" s="2" t="n">
        <v>5</v>
      </c>
      <c r="CA6" s="2" t="s">
        <v>115</v>
      </c>
      <c r="CB6" s="2" t="n">
        <v>0</v>
      </c>
      <c r="CC6" s="2" t="n">
        <v>0</v>
      </c>
      <c r="CD6" s="2" t="n">
        <v>1</v>
      </c>
      <c r="CE6" s="2" t="n">
        <v>0</v>
      </c>
      <c r="CF6" s="2" t="s">
        <v>137</v>
      </c>
      <c r="CG6" s="2" t="n">
        <v>3</v>
      </c>
      <c r="CH6" s="2" t="n">
        <v>4</v>
      </c>
      <c r="CI6" s="2" t="n">
        <v>3</v>
      </c>
      <c r="CJ6" s="2" t="n">
        <v>3</v>
      </c>
      <c r="CK6" s="2" t="s">
        <v>176</v>
      </c>
      <c r="CL6" s="2" t="s">
        <v>119</v>
      </c>
      <c r="CM6" s="2" t="s">
        <v>177</v>
      </c>
      <c r="CN6" s="2" t="s">
        <v>122</v>
      </c>
      <c r="CO6" s="2"/>
      <c r="CP6" s="2" t="s">
        <v>122</v>
      </c>
      <c r="CQ6" s="2" t="s">
        <v>122</v>
      </c>
      <c r="CR6" s="2" t="s">
        <v>141</v>
      </c>
      <c r="CS6" s="2"/>
      <c r="CT6" s="2"/>
    </row>
    <row r="7" customFormat="false" ht="15" hidden="false" customHeight="false" outlineLevel="0" collapsed="false">
      <c r="A7" s="2" t="n">
        <v>6</v>
      </c>
      <c r="B7" s="2" t="s">
        <v>178</v>
      </c>
      <c r="C7" s="2" t="s">
        <v>99</v>
      </c>
      <c r="D7" s="2" t="s">
        <v>157</v>
      </c>
      <c r="E7" s="2" t="s">
        <v>171</v>
      </c>
      <c r="F7" s="2" t="s">
        <v>179</v>
      </c>
      <c r="G7" s="2" t="s">
        <v>180</v>
      </c>
      <c r="H7" s="2" t="s">
        <v>181</v>
      </c>
      <c r="I7" s="2" t="s">
        <v>145</v>
      </c>
      <c r="J7" s="2" t="s">
        <v>128</v>
      </c>
      <c r="K7" s="2"/>
      <c r="L7" s="2" t="s">
        <v>182</v>
      </c>
      <c r="M7" s="2" t="s">
        <v>161</v>
      </c>
      <c r="N7" s="2" t="s">
        <v>183</v>
      </c>
      <c r="O7" s="2"/>
      <c r="P7" s="2" t="s">
        <v>109</v>
      </c>
      <c r="Q7" s="2" t="s">
        <v>184</v>
      </c>
      <c r="R7" s="2" t="s">
        <v>109</v>
      </c>
      <c r="S7" s="2" t="s">
        <v>185</v>
      </c>
      <c r="T7" s="2" t="n">
        <v>0</v>
      </c>
      <c r="U7" s="2" t="n">
        <v>1</v>
      </c>
      <c r="V7" s="2" t="n">
        <v>1</v>
      </c>
      <c r="W7" s="2" t="n">
        <v>0</v>
      </c>
      <c r="X7" s="2" t="s">
        <v>186</v>
      </c>
      <c r="Y7" s="2" t="n">
        <v>1</v>
      </c>
      <c r="Z7" s="2" t="n">
        <v>5</v>
      </c>
      <c r="AA7" s="2" t="n">
        <v>3</v>
      </c>
      <c r="AB7" s="2" t="n">
        <v>4</v>
      </c>
      <c r="AC7" s="2" t="n">
        <v>2</v>
      </c>
      <c r="AD7" s="2" t="n">
        <v>1</v>
      </c>
      <c r="AE7" s="2" t="n">
        <v>3</v>
      </c>
      <c r="AF7" s="2"/>
      <c r="AG7" s="2" t="n">
        <v>3</v>
      </c>
      <c r="AH7" s="2" t="n">
        <v>1</v>
      </c>
      <c r="AI7" s="2" t="n">
        <v>0</v>
      </c>
      <c r="AJ7" s="2" t="n">
        <v>0</v>
      </c>
      <c r="AK7" s="2" t="n">
        <v>1</v>
      </c>
      <c r="AL7" s="2" t="n">
        <v>0</v>
      </c>
      <c r="AM7" s="2" t="n">
        <v>0</v>
      </c>
      <c r="AN7" s="2" t="s">
        <v>187</v>
      </c>
      <c r="AO7" s="2" t="n">
        <v>4</v>
      </c>
      <c r="AP7" s="2" t="n">
        <v>1</v>
      </c>
      <c r="AQ7" s="2" t="n">
        <v>3</v>
      </c>
      <c r="AR7" s="2" t="n">
        <v>4</v>
      </c>
      <c r="AS7" s="2" t="n">
        <v>4</v>
      </c>
      <c r="AT7" s="2" t="n">
        <v>3</v>
      </c>
      <c r="AU7" s="2" t="n">
        <v>2</v>
      </c>
      <c r="AV7" s="2" t="n">
        <v>1</v>
      </c>
      <c r="AW7" s="2" t="n">
        <v>0</v>
      </c>
      <c r="AX7" s="2" t="n">
        <v>0</v>
      </c>
      <c r="AY7" s="2" t="n">
        <v>1</v>
      </c>
      <c r="AZ7" s="2" t="n">
        <v>0</v>
      </c>
      <c r="BA7" s="2" t="s">
        <v>188</v>
      </c>
      <c r="BB7" s="2" t="s">
        <v>165</v>
      </c>
      <c r="BC7" s="2" t="n">
        <v>2</v>
      </c>
      <c r="BD7" s="2" t="n">
        <v>5</v>
      </c>
      <c r="BE7" s="2" t="n">
        <v>3</v>
      </c>
      <c r="BF7" s="2" t="n">
        <v>5</v>
      </c>
      <c r="BG7" s="2" t="n">
        <v>5</v>
      </c>
      <c r="BH7" s="2" t="n">
        <v>5</v>
      </c>
      <c r="BI7" s="2" t="n">
        <v>4</v>
      </c>
      <c r="BJ7" s="2" t="n">
        <v>3</v>
      </c>
      <c r="BK7" s="2" t="n">
        <v>5</v>
      </c>
      <c r="BL7" s="2" t="n">
        <v>4</v>
      </c>
      <c r="BM7" s="2" t="n">
        <v>3</v>
      </c>
      <c r="BN7" s="2" t="n">
        <v>2</v>
      </c>
      <c r="BO7" s="2"/>
      <c r="BP7" s="2" t="n">
        <v>2</v>
      </c>
      <c r="BQ7" s="2" t="n">
        <v>1</v>
      </c>
      <c r="BR7" s="2" t="n">
        <v>5</v>
      </c>
      <c r="BS7" s="2" t="n">
        <v>5</v>
      </c>
      <c r="BT7" s="2" t="n">
        <v>2</v>
      </c>
      <c r="BU7" s="2" t="n">
        <v>5</v>
      </c>
      <c r="BV7" s="2" t="n">
        <v>2</v>
      </c>
      <c r="BW7" s="2" t="n">
        <v>1</v>
      </c>
      <c r="BX7" s="2" t="n">
        <v>2</v>
      </c>
      <c r="BY7" s="2" t="n">
        <v>3</v>
      </c>
      <c r="BZ7" s="2" t="n">
        <v>3</v>
      </c>
      <c r="CA7" s="2" t="s">
        <v>189</v>
      </c>
      <c r="CB7" s="2" t="n">
        <v>0</v>
      </c>
      <c r="CC7" s="2" t="n">
        <v>0</v>
      </c>
      <c r="CD7" s="2" t="n">
        <v>1</v>
      </c>
      <c r="CE7" s="2" t="n">
        <v>0</v>
      </c>
      <c r="CF7" s="2" t="s">
        <v>137</v>
      </c>
      <c r="CG7" s="2" t="n">
        <v>4</v>
      </c>
      <c r="CH7" s="2" t="n">
        <v>4</v>
      </c>
      <c r="CI7" s="2" t="n">
        <v>4</v>
      </c>
      <c r="CJ7" s="2" t="n">
        <v>5</v>
      </c>
      <c r="CK7" s="2" t="s">
        <v>118</v>
      </c>
      <c r="CL7" s="2" t="s">
        <v>154</v>
      </c>
      <c r="CM7" s="2" t="s">
        <v>177</v>
      </c>
      <c r="CN7" s="2" t="s">
        <v>122</v>
      </c>
      <c r="CO7" s="2"/>
      <c r="CP7" s="2"/>
      <c r="CQ7" s="2" t="s">
        <v>121</v>
      </c>
      <c r="CR7" s="2" t="s">
        <v>141</v>
      </c>
      <c r="CS7" s="2"/>
      <c r="CT7" s="2"/>
    </row>
    <row r="8" customFormat="false" ht="15" hidden="false" customHeight="false" outlineLevel="0" collapsed="false">
      <c r="A8" s="2" t="n">
        <v>7</v>
      </c>
      <c r="B8" s="2" t="s">
        <v>190</v>
      </c>
      <c r="C8" s="2" t="s">
        <v>191</v>
      </c>
      <c r="D8" s="2" t="s">
        <v>192</v>
      </c>
      <c r="E8" s="2" t="s">
        <v>193</v>
      </c>
      <c r="F8" s="2" t="s">
        <v>179</v>
      </c>
      <c r="G8" s="2" t="s">
        <v>180</v>
      </c>
      <c r="H8" s="2" t="s">
        <v>126</v>
      </c>
      <c r="I8" s="2" t="s">
        <v>145</v>
      </c>
      <c r="J8" s="2" t="s">
        <v>106</v>
      </c>
      <c r="K8" s="2"/>
      <c r="L8" s="2" t="s">
        <v>182</v>
      </c>
      <c r="M8" s="2" t="s">
        <v>107</v>
      </c>
      <c r="N8" s="2" t="s">
        <v>108</v>
      </c>
      <c r="O8" s="2"/>
      <c r="P8" s="2" t="s">
        <v>149</v>
      </c>
      <c r="Q8" s="2" t="s">
        <v>131</v>
      </c>
      <c r="R8" s="2" t="s">
        <v>109</v>
      </c>
      <c r="S8" s="2" t="s">
        <v>111</v>
      </c>
      <c r="T8" s="2" t="n">
        <v>0</v>
      </c>
      <c r="U8" s="2" t="n">
        <v>1</v>
      </c>
      <c r="V8" s="2" t="n">
        <v>0</v>
      </c>
      <c r="W8" s="2" t="n">
        <v>0</v>
      </c>
      <c r="X8" s="2" t="s">
        <v>194</v>
      </c>
      <c r="Y8" s="2"/>
      <c r="Z8" s="2"/>
      <c r="AA8" s="2"/>
      <c r="AB8" s="2" t="n">
        <v>4</v>
      </c>
      <c r="AC8" s="2" t="n">
        <v>4</v>
      </c>
      <c r="AD8" s="2" t="n">
        <v>5</v>
      </c>
      <c r="AE8" s="2" t="n">
        <v>1</v>
      </c>
      <c r="AF8" s="2" t="n">
        <v>4</v>
      </c>
      <c r="AG8" s="2" t="n">
        <v>3</v>
      </c>
      <c r="AH8" s="2" t="n">
        <v>0</v>
      </c>
      <c r="AI8" s="2" t="n">
        <v>1</v>
      </c>
      <c r="AJ8" s="2" t="n">
        <v>1</v>
      </c>
      <c r="AK8" s="2" t="n">
        <v>0</v>
      </c>
      <c r="AL8" s="2" t="n">
        <v>0</v>
      </c>
      <c r="AM8" s="2" t="n">
        <v>0</v>
      </c>
      <c r="AN8" s="2" t="s">
        <v>195</v>
      </c>
      <c r="AO8" s="2"/>
      <c r="AP8" s="2" t="n">
        <v>5</v>
      </c>
      <c r="AQ8" s="2" t="n">
        <v>4</v>
      </c>
      <c r="AR8" s="2" t="n">
        <v>3</v>
      </c>
      <c r="AS8" s="2" t="n">
        <v>5</v>
      </c>
      <c r="AT8" s="2" t="n">
        <v>2</v>
      </c>
      <c r="AU8" s="2"/>
      <c r="AV8" s="2" t="n">
        <v>1</v>
      </c>
      <c r="AW8" s="2" t="n">
        <v>1</v>
      </c>
      <c r="AX8" s="2" t="n">
        <v>0</v>
      </c>
      <c r="AY8" s="2" t="n">
        <v>0</v>
      </c>
      <c r="AZ8" s="2" t="n">
        <v>0</v>
      </c>
      <c r="BA8" s="2" t="s">
        <v>196</v>
      </c>
      <c r="BB8" s="2" t="s">
        <v>115</v>
      </c>
      <c r="BC8" s="2" t="n">
        <v>3</v>
      </c>
      <c r="BD8" s="2" t="n">
        <v>3</v>
      </c>
      <c r="BE8" s="2" t="n">
        <v>4</v>
      </c>
      <c r="BF8" s="2" t="n">
        <v>5</v>
      </c>
      <c r="BG8" s="2" t="n">
        <v>4</v>
      </c>
      <c r="BH8" s="2" t="n">
        <v>2</v>
      </c>
      <c r="BI8" s="2" t="n">
        <v>4</v>
      </c>
      <c r="BJ8" s="2" t="n">
        <v>3</v>
      </c>
      <c r="BK8" s="2" t="n">
        <v>4</v>
      </c>
      <c r="BL8" s="2" t="n">
        <v>5</v>
      </c>
      <c r="BM8" s="2" t="n">
        <v>4</v>
      </c>
      <c r="BN8" s="2" t="n">
        <v>3</v>
      </c>
      <c r="BO8" s="2" t="n">
        <v>1</v>
      </c>
      <c r="BP8" s="2" t="n">
        <v>4</v>
      </c>
      <c r="BQ8" s="2" t="n">
        <v>3</v>
      </c>
      <c r="BR8" s="2" t="n">
        <v>2</v>
      </c>
      <c r="BS8" s="2" t="n">
        <v>4</v>
      </c>
      <c r="BT8" s="2" t="n">
        <v>3</v>
      </c>
      <c r="BU8" s="2" t="n">
        <v>5</v>
      </c>
      <c r="BV8" s="2" t="n">
        <v>4</v>
      </c>
      <c r="BW8" s="2" t="n">
        <v>3</v>
      </c>
      <c r="BX8" s="2" t="n">
        <v>2</v>
      </c>
      <c r="BY8" s="2" t="n">
        <v>4</v>
      </c>
      <c r="BZ8" s="2" t="n">
        <v>1</v>
      </c>
      <c r="CA8" s="2" t="s">
        <v>116</v>
      </c>
      <c r="CB8" s="2" t="n">
        <v>1</v>
      </c>
      <c r="CC8" s="2" t="n">
        <v>1</v>
      </c>
      <c r="CD8" s="2" t="n">
        <v>0</v>
      </c>
      <c r="CE8" s="2" t="n">
        <v>0</v>
      </c>
      <c r="CF8" s="2" t="s">
        <v>197</v>
      </c>
      <c r="CG8" s="2" t="n">
        <v>4</v>
      </c>
      <c r="CH8" s="2" t="n">
        <v>3</v>
      </c>
      <c r="CI8" s="2" t="n">
        <v>2</v>
      </c>
      <c r="CJ8" s="2" t="n">
        <v>3</v>
      </c>
      <c r="CK8" s="2" t="s">
        <v>138</v>
      </c>
      <c r="CL8" s="2" t="s">
        <v>198</v>
      </c>
      <c r="CM8" s="2" t="s">
        <v>177</v>
      </c>
      <c r="CN8" s="2"/>
      <c r="CO8" s="2" t="s">
        <v>121</v>
      </c>
      <c r="CP8" s="2"/>
      <c r="CQ8" s="2"/>
      <c r="CR8" s="2"/>
      <c r="CS8" s="2"/>
      <c r="CT8" s="2"/>
    </row>
    <row r="9" customFormat="false" ht="15" hidden="false" customHeight="false" outlineLevel="0" collapsed="false">
      <c r="A9" s="2" t="n">
        <v>8</v>
      </c>
      <c r="B9" s="2" t="s">
        <v>199</v>
      </c>
      <c r="C9" s="2" t="s">
        <v>200</v>
      </c>
      <c r="D9" s="2" t="s">
        <v>192</v>
      </c>
      <c r="E9" s="2" t="s">
        <v>171</v>
      </c>
      <c r="F9" s="2" t="s">
        <v>179</v>
      </c>
      <c r="G9" s="2" t="s">
        <v>103</v>
      </c>
      <c r="H9" s="2" t="s">
        <v>181</v>
      </c>
      <c r="I9" s="2" t="s">
        <v>127</v>
      </c>
      <c r="J9" s="2" t="s">
        <v>106</v>
      </c>
      <c r="K9" s="2"/>
      <c r="L9" s="2" t="s">
        <v>147</v>
      </c>
      <c r="M9" s="2" t="s">
        <v>107</v>
      </c>
      <c r="N9" s="2" t="s">
        <v>108</v>
      </c>
      <c r="O9" s="2"/>
      <c r="P9" s="2" t="s">
        <v>109</v>
      </c>
      <c r="Q9" s="2" t="s">
        <v>131</v>
      </c>
      <c r="R9" s="2" t="s">
        <v>149</v>
      </c>
      <c r="S9" s="2" t="s">
        <v>132</v>
      </c>
      <c r="T9" s="2" t="n">
        <v>0</v>
      </c>
      <c r="U9" s="2" t="n">
        <v>0</v>
      </c>
      <c r="V9" s="2" t="n">
        <v>1</v>
      </c>
      <c r="W9" s="2" t="n">
        <v>0</v>
      </c>
      <c r="X9" s="2" t="s">
        <v>201</v>
      </c>
      <c r="Y9" s="2"/>
      <c r="Z9" s="2"/>
      <c r="AA9" s="2"/>
      <c r="AB9" s="2" t="n">
        <v>3</v>
      </c>
      <c r="AC9" s="2"/>
      <c r="AD9" s="2" t="n">
        <v>3</v>
      </c>
      <c r="AE9" s="2" t="n">
        <v>2</v>
      </c>
      <c r="AF9" s="2" t="n">
        <v>2</v>
      </c>
      <c r="AG9" s="2" t="n">
        <v>4</v>
      </c>
      <c r="AH9" s="2" t="n">
        <v>0</v>
      </c>
      <c r="AI9" s="2" t="n">
        <v>0</v>
      </c>
      <c r="AJ9" s="2" t="n">
        <v>0</v>
      </c>
      <c r="AK9" s="2" t="n">
        <v>1</v>
      </c>
      <c r="AL9" s="2" t="n">
        <v>0</v>
      </c>
      <c r="AM9" s="2" t="n">
        <v>0</v>
      </c>
      <c r="AN9" s="2" t="s">
        <v>202</v>
      </c>
      <c r="AO9" s="2" t="n">
        <v>2</v>
      </c>
      <c r="AP9" s="2" t="n">
        <v>4</v>
      </c>
      <c r="AQ9" s="2" t="n">
        <v>5</v>
      </c>
      <c r="AR9" s="2" t="n">
        <v>2</v>
      </c>
      <c r="AS9" s="2" t="n">
        <v>2</v>
      </c>
      <c r="AT9" s="2" t="n">
        <v>5</v>
      </c>
      <c r="AU9" s="2" t="n">
        <v>3</v>
      </c>
      <c r="AV9" s="2" t="n">
        <v>0</v>
      </c>
      <c r="AW9" s="2" t="n">
        <v>0</v>
      </c>
      <c r="AX9" s="2" t="n">
        <v>1</v>
      </c>
      <c r="AY9" s="2" t="n">
        <v>0</v>
      </c>
      <c r="AZ9" s="2" t="n">
        <v>1</v>
      </c>
      <c r="BA9" s="2" t="s">
        <v>203</v>
      </c>
      <c r="BB9" s="2"/>
      <c r="BC9" s="2" t="n">
        <v>2</v>
      </c>
      <c r="BD9" s="2" t="n">
        <v>5</v>
      </c>
      <c r="BE9" s="2" t="n">
        <v>5</v>
      </c>
      <c r="BF9" s="2" t="n">
        <v>2</v>
      </c>
      <c r="BG9" s="2" t="n">
        <v>5</v>
      </c>
      <c r="BH9" s="2" t="n">
        <v>2</v>
      </c>
      <c r="BI9" s="2" t="n">
        <v>3</v>
      </c>
      <c r="BJ9" s="2" t="n">
        <v>1</v>
      </c>
      <c r="BK9" s="2" t="n">
        <v>3</v>
      </c>
      <c r="BL9" s="2" t="n">
        <v>2</v>
      </c>
      <c r="BM9" s="2" t="n">
        <v>2</v>
      </c>
      <c r="BN9" s="2" t="n">
        <v>5</v>
      </c>
      <c r="BO9" s="2" t="n">
        <v>4</v>
      </c>
      <c r="BP9" s="2" t="n">
        <v>1</v>
      </c>
      <c r="BQ9" s="2" t="n">
        <v>3</v>
      </c>
      <c r="BR9" s="2" t="n">
        <v>4</v>
      </c>
      <c r="BS9" s="2" t="n">
        <v>4</v>
      </c>
      <c r="BT9" s="2" t="n">
        <v>5</v>
      </c>
      <c r="BU9" s="2" t="n">
        <v>4</v>
      </c>
      <c r="BV9" s="2" t="n">
        <v>3</v>
      </c>
      <c r="BW9" s="2" t="n">
        <v>3</v>
      </c>
      <c r="BX9" s="2" t="n">
        <v>5</v>
      </c>
      <c r="BY9" s="2" t="n">
        <v>2</v>
      </c>
      <c r="BZ9" s="2" t="n">
        <v>3</v>
      </c>
      <c r="CA9" s="2" t="s">
        <v>116</v>
      </c>
      <c r="CB9" s="2" t="n">
        <v>0</v>
      </c>
      <c r="CC9" s="2" t="n">
        <v>1</v>
      </c>
      <c r="CD9" s="2" t="n">
        <v>1</v>
      </c>
      <c r="CE9" s="2" t="n">
        <v>0</v>
      </c>
      <c r="CF9" s="2" t="s">
        <v>204</v>
      </c>
      <c r="CG9" s="2" t="n">
        <v>2</v>
      </c>
      <c r="CH9" s="2" t="n">
        <v>1</v>
      </c>
      <c r="CI9" s="2" t="n">
        <v>4</v>
      </c>
      <c r="CJ9" s="2" t="n">
        <v>5</v>
      </c>
      <c r="CK9" s="2" t="s">
        <v>176</v>
      </c>
      <c r="CL9" s="2" t="s">
        <v>154</v>
      </c>
      <c r="CM9" s="2" t="s">
        <v>205</v>
      </c>
      <c r="CN9" s="2" t="s">
        <v>122</v>
      </c>
      <c r="CO9" s="2" t="s">
        <v>121</v>
      </c>
      <c r="CP9" s="2"/>
      <c r="CQ9" s="2" t="s">
        <v>121</v>
      </c>
      <c r="CR9" s="2" t="s">
        <v>141</v>
      </c>
      <c r="CS9" s="2"/>
      <c r="CT9" s="2"/>
    </row>
    <row r="10" customFormat="false" ht="15" hidden="false" customHeight="false" outlineLevel="0" collapsed="false">
      <c r="A10" s="2" t="n">
        <v>9</v>
      </c>
      <c r="B10" s="2" t="s">
        <v>206</v>
      </c>
      <c r="C10" s="2" t="s">
        <v>207</v>
      </c>
      <c r="D10" s="2" t="s">
        <v>208</v>
      </c>
      <c r="E10" s="2" t="s">
        <v>144</v>
      </c>
      <c r="F10" s="2" t="s">
        <v>179</v>
      </c>
      <c r="G10" s="2" t="s">
        <v>103</v>
      </c>
      <c r="H10" s="2" t="s">
        <v>159</v>
      </c>
      <c r="I10" s="2" t="s">
        <v>105</v>
      </c>
      <c r="J10" s="2" t="s">
        <v>128</v>
      </c>
      <c r="K10" s="2"/>
      <c r="L10" s="2" t="s">
        <v>147</v>
      </c>
      <c r="M10" s="2"/>
      <c r="N10" s="2" t="s">
        <v>209</v>
      </c>
      <c r="O10" s="2"/>
      <c r="P10" s="2" t="s">
        <v>149</v>
      </c>
      <c r="Q10" s="2" t="s">
        <v>148</v>
      </c>
      <c r="R10" s="2" t="s">
        <v>109</v>
      </c>
      <c r="S10" s="2" t="s">
        <v>132</v>
      </c>
      <c r="T10" s="2" t="n">
        <v>0</v>
      </c>
      <c r="U10" s="2" t="n">
        <v>0</v>
      </c>
      <c r="V10" s="2" t="n">
        <v>1</v>
      </c>
      <c r="W10" s="2" t="n">
        <v>1</v>
      </c>
      <c r="X10" s="2" t="s">
        <v>210</v>
      </c>
      <c r="Y10" s="2" t="n">
        <v>2</v>
      </c>
      <c r="Z10" s="2" t="n">
        <v>2</v>
      </c>
      <c r="AA10" s="2" t="n">
        <v>4</v>
      </c>
      <c r="AB10" s="2" t="n">
        <v>3</v>
      </c>
      <c r="AC10" s="2" t="n">
        <v>4</v>
      </c>
      <c r="AD10" s="2" t="n">
        <v>3</v>
      </c>
      <c r="AE10" s="2" t="n">
        <v>4</v>
      </c>
      <c r="AF10" s="2" t="n">
        <v>1</v>
      </c>
      <c r="AG10" s="2" t="n">
        <v>4</v>
      </c>
      <c r="AH10" s="2" t="n">
        <v>0</v>
      </c>
      <c r="AI10" s="2" t="n">
        <v>0</v>
      </c>
      <c r="AJ10" s="2" t="n">
        <v>0</v>
      </c>
      <c r="AK10" s="2" t="n">
        <v>1</v>
      </c>
      <c r="AL10" s="2" t="n">
        <v>0</v>
      </c>
      <c r="AM10" s="2" t="n">
        <v>0</v>
      </c>
      <c r="AN10" s="2" t="s">
        <v>202</v>
      </c>
      <c r="AO10" s="2" t="n">
        <v>4</v>
      </c>
      <c r="AP10" s="2" t="n">
        <v>2</v>
      </c>
      <c r="AQ10" s="2" t="n">
        <v>5</v>
      </c>
      <c r="AR10" s="2" t="n">
        <v>4</v>
      </c>
      <c r="AS10" s="2" t="n">
        <v>4</v>
      </c>
      <c r="AT10" s="2" t="n">
        <v>3</v>
      </c>
      <c r="AU10" s="2" t="n">
        <v>1</v>
      </c>
      <c r="AV10" s="2" t="n">
        <v>0</v>
      </c>
      <c r="AW10" s="2" t="n">
        <v>1</v>
      </c>
      <c r="AX10" s="2" t="n">
        <v>0</v>
      </c>
      <c r="AY10" s="2" t="n">
        <v>0</v>
      </c>
      <c r="AZ10" s="2" t="n">
        <v>0</v>
      </c>
      <c r="BA10" s="2" t="s">
        <v>175</v>
      </c>
      <c r="BB10" s="2" t="s">
        <v>115</v>
      </c>
      <c r="BC10" s="2" t="n">
        <v>1</v>
      </c>
      <c r="BD10" s="2" t="n">
        <v>4</v>
      </c>
      <c r="BE10" s="2" t="n">
        <v>3</v>
      </c>
      <c r="BF10" s="2" t="n">
        <v>4</v>
      </c>
      <c r="BG10" s="2" t="n">
        <v>3</v>
      </c>
      <c r="BH10" s="2" t="n">
        <v>5</v>
      </c>
      <c r="BI10" s="2" t="n">
        <v>3</v>
      </c>
      <c r="BJ10" s="2" t="n">
        <v>5</v>
      </c>
      <c r="BK10" s="2" t="n">
        <v>2</v>
      </c>
      <c r="BL10" s="2" t="n">
        <v>2</v>
      </c>
      <c r="BM10" s="2" t="n">
        <v>4</v>
      </c>
      <c r="BN10" s="2" t="n">
        <v>4</v>
      </c>
      <c r="BO10" s="2" t="n">
        <v>4</v>
      </c>
      <c r="BP10" s="2" t="n">
        <v>5</v>
      </c>
      <c r="BQ10" s="2" t="n">
        <v>3</v>
      </c>
      <c r="BR10" s="2" t="n">
        <v>1</v>
      </c>
      <c r="BS10" s="2" t="n">
        <v>4</v>
      </c>
      <c r="BT10" s="2" t="n">
        <v>3</v>
      </c>
      <c r="BU10" s="2" t="n">
        <v>4</v>
      </c>
      <c r="BV10" s="2" t="n">
        <v>3</v>
      </c>
      <c r="BW10" s="2" t="n">
        <v>3</v>
      </c>
      <c r="BX10" s="2" t="n">
        <v>5</v>
      </c>
      <c r="BY10" s="2" t="n">
        <v>4</v>
      </c>
      <c r="BZ10" s="2" t="n">
        <v>2</v>
      </c>
      <c r="CA10" s="2" t="s">
        <v>115</v>
      </c>
      <c r="CB10" s="2" t="n">
        <v>0</v>
      </c>
      <c r="CC10" s="2" t="n">
        <v>1</v>
      </c>
      <c r="CD10" s="2" t="n">
        <v>1</v>
      </c>
      <c r="CE10" s="2" t="n">
        <v>0</v>
      </c>
      <c r="CF10" s="2" t="s">
        <v>204</v>
      </c>
      <c r="CG10" s="2" t="n">
        <v>3</v>
      </c>
      <c r="CH10" s="2" t="n">
        <v>5</v>
      </c>
      <c r="CI10" s="2" t="n">
        <v>3</v>
      </c>
      <c r="CJ10" s="2" t="n">
        <v>5</v>
      </c>
      <c r="CK10" s="2" t="s">
        <v>176</v>
      </c>
      <c r="CL10" s="2" t="s">
        <v>119</v>
      </c>
      <c r="CM10" s="2" t="s">
        <v>168</v>
      </c>
      <c r="CN10" s="2" t="s">
        <v>121</v>
      </c>
      <c r="CO10" s="2"/>
      <c r="CP10" s="2" t="s">
        <v>122</v>
      </c>
      <c r="CQ10" s="2"/>
      <c r="CR10" s="2"/>
      <c r="CS10" s="2"/>
      <c r="CT10" s="2"/>
    </row>
    <row r="11" customFormat="false" ht="15" hidden="false" customHeight="false" outlineLevel="0" collapsed="false">
      <c r="A11" s="2" t="n">
        <v>10</v>
      </c>
      <c r="B11" s="2" t="s">
        <v>211</v>
      </c>
      <c r="C11" s="2" t="s">
        <v>156</v>
      </c>
      <c r="D11" s="2" t="s">
        <v>192</v>
      </c>
      <c r="E11" s="2" t="s">
        <v>171</v>
      </c>
      <c r="F11" s="2" t="s">
        <v>179</v>
      </c>
      <c r="G11" s="2" t="s">
        <v>103</v>
      </c>
      <c r="H11" s="2" t="s">
        <v>126</v>
      </c>
      <c r="I11" s="2" t="s">
        <v>145</v>
      </c>
      <c r="J11" s="2" t="s">
        <v>128</v>
      </c>
      <c r="K11" s="2"/>
      <c r="L11" s="2" t="s">
        <v>129</v>
      </c>
      <c r="M11" s="2" t="s">
        <v>161</v>
      </c>
      <c r="N11" s="2" t="s">
        <v>183</v>
      </c>
      <c r="O11" s="2"/>
      <c r="P11" s="2" t="s">
        <v>109</v>
      </c>
      <c r="Q11" s="2" t="s">
        <v>131</v>
      </c>
      <c r="R11" s="2" t="s">
        <v>109</v>
      </c>
      <c r="S11" s="2" t="s">
        <v>132</v>
      </c>
      <c r="T11" s="2" t="n">
        <v>0</v>
      </c>
      <c r="U11" s="2" t="n">
        <v>1</v>
      </c>
      <c r="V11" s="2" t="n">
        <v>0</v>
      </c>
      <c r="W11" s="2" t="n">
        <v>0</v>
      </c>
      <c r="X11" s="2" t="s">
        <v>194</v>
      </c>
      <c r="Y11" s="2" t="n">
        <v>2</v>
      </c>
      <c r="Z11" s="2" t="n">
        <v>2</v>
      </c>
      <c r="AA11" s="2" t="n">
        <v>3</v>
      </c>
      <c r="AB11" s="2" t="n">
        <v>1</v>
      </c>
      <c r="AC11" s="2" t="n">
        <v>4</v>
      </c>
      <c r="AD11" s="2" t="n">
        <v>5</v>
      </c>
      <c r="AE11" s="2" t="n">
        <v>4</v>
      </c>
      <c r="AF11" s="2" t="n">
        <v>2</v>
      </c>
      <c r="AG11" s="2" t="n">
        <v>3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1</v>
      </c>
      <c r="AN11" s="2" t="s">
        <v>167</v>
      </c>
      <c r="AO11" s="2" t="n">
        <v>4</v>
      </c>
      <c r="AP11" s="2" t="n">
        <v>3</v>
      </c>
      <c r="AQ11" s="2" t="n">
        <v>3</v>
      </c>
      <c r="AR11" s="2" t="n">
        <v>2</v>
      </c>
      <c r="AS11" s="2" t="n">
        <v>2</v>
      </c>
      <c r="AT11" s="2" t="n">
        <v>4</v>
      </c>
      <c r="AU11" s="2" t="n">
        <v>4</v>
      </c>
      <c r="AV11" s="2" t="n">
        <v>0</v>
      </c>
      <c r="AW11" s="2" t="n">
        <v>0</v>
      </c>
      <c r="AX11" s="2" t="n">
        <v>1</v>
      </c>
      <c r="AY11" s="2" t="n">
        <v>0</v>
      </c>
      <c r="AZ11" s="2" t="n">
        <v>0</v>
      </c>
      <c r="BA11" s="2" t="s">
        <v>212</v>
      </c>
      <c r="BB11" s="2" t="s">
        <v>115</v>
      </c>
      <c r="BC11" s="2" t="n">
        <v>3</v>
      </c>
      <c r="BD11" s="2" t="n">
        <v>2</v>
      </c>
      <c r="BE11" s="2" t="n">
        <v>1</v>
      </c>
      <c r="BF11" s="2" t="n">
        <v>1</v>
      </c>
      <c r="BG11" s="2" t="n">
        <v>3</v>
      </c>
      <c r="BH11" s="2" t="n">
        <v>3</v>
      </c>
      <c r="BI11" s="2" t="n">
        <v>3</v>
      </c>
      <c r="BJ11" s="2" t="n">
        <v>5</v>
      </c>
      <c r="BK11" s="2" t="n">
        <v>3</v>
      </c>
      <c r="BL11" s="2" t="n">
        <v>5</v>
      </c>
      <c r="BM11" s="2" t="n">
        <v>2</v>
      </c>
      <c r="BN11" s="2" t="n">
        <v>2</v>
      </c>
      <c r="BO11" s="2" t="n">
        <v>5</v>
      </c>
      <c r="BP11" s="2" t="n">
        <v>4</v>
      </c>
      <c r="BQ11" s="2" t="n">
        <v>4</v>
      </c>
      <c r="BR11" s="2" t="n">
        <v>3</v>
      </c>
      <c r="BS11" s="2" t="n">
        <v>4</v>
      </c>
      <c r="BT11" s="2" t="n">
        <v>4</v>
      </c>
      <c r="BU11" s="2" t="n">
        <v>3</v>
      </c>
      <c r="BV11" s="2" t="n">
        <v>4</v>
      </c>
      <c r="BW11" s="2" t="n">
        <v>5</v>
      </c>
      <c r="BX11" s="2" t="n">
        <v>4</v>
      </c>
      <c r="BY11" s="2" t="n">
        <v>1</v>
      </c>
      <c r="BZ11" s="2" t="n">
        <v>3</v>
      </c>
      <c r="CA11" s="2" t="s">
        <v>213</v>
      </c>
      <c r="CB11" s="2" t="n">
        <v>0</v>
      </c>
      <c r="CC11" s="2" t="n">
        <v>1</v>
      </c>
      <c r="CD11" s="2" t="n">
        <v>0</v>
      </c>
      <c r="CE11" s="2" t="n">
        <v>0</v>
      </c>
      <c r="CF11" s="2" t="s">
        <v>117</v>
      </c>
      <c r="CG11" s="2" t="n">
        <v>1</v>
      </c>
      <c r="CH11" s="2" t="n">
        <v>1</v>
      </c>
      <c r="CI11" s="2" t="n">
        <v>5</v>
      </c>
      <c r="CJ11" s="2" t="n">
        <v>2</v>
      </c>
      <c r="CK11" s="2" t="s">
        <v>176</v>
      </c>
      <c r="CL11" s="2" t="s">
        <v>139</v>
      </c>
      <c r="CM11" s="2" t="s">
        <v>120</v>
      </c>
      <c r="CN11" s="2" t="s">
        <v>121</v>
      </c>
      <c r="CO11" s="2"/>
      <c r="CP11" s="2"/>
      <c r="CQ11" s="2" t="s">
        <v>122</v>
      </c>
      <c r="CR11" s="2" t="s">
        <v>141</v>
      </c>
      <c r="CS11" s="2"/>
      <c r="CT11" s="2"/>
    </row>
    <row r="12" customFormat="false" ht="15" hidden="false" customHeight="false" outlineLevel="0" collapsed="false">
      <c r="A12" s="2" t="n">
        <v>11</v>
      </c>
      <c r="B12" s="2" t="s">
        <v>214</v>
      </c>
      <c r="C12" s="2" t="s">
        <v>215</v>
      </c>
      <c r="D12" s="2" t="s">
        <v>192</v>
      </c>
      <c r="E12" s="2" t="s">
        <v>144</v>
      </c>
      <c r="F12" s="2" t="s">
        <v>102</v>
      </c>
      <c r="G12" s="2" t="s">
        <v>103</v>
      </c>
      <c r="H12" s="2" t="s">
        <v>126</v>
      </c>
      <c r="I12" s="2" t="s">
        <v>145</v>
      </c>
      <c r="J12" s="2" t="s">
        <v>106</v>
      </c>
      <c r="K12" s="2"/>
      <c r="L12" s="2" t="s">
        <v>129</v>
      </c>
      <c r="M12" s="2" t="s">
        <v>130</v>
      </c>
      <c r="N12" s="2" t="s">
        <v>183</v>
      </c>
      <c r="O12" s="2"/>
      <c r="P12" s="2" t="s">
        <v>109</v>
      </c>
      <c r="Q12" s="2" t="s">
        <v>148</v>
      </c>
      <c r="R12" s="2" t="s">
        <v>149</v>
      </c>
      <c r="S12" s="2" t="s">
        <v>132</v>
      </c>
      <c r="T12" s="2" t="n">
        <v>0</v>
      </c>
      <c r="U12" s="2" t="n">
        <v>1</v>
      </c>
      <c r="V12" s="2" t="n">
        <v>0</v>
      </c>
      <c r="W12" s="2" t="n">
        <v>0</v>
      </c>
      <c r="X12" s="2" t="s">
        <v>194</v>
      </c>
      <c r="Y12" s="2"/>
      <c r="Z12" s="2"/>
      <c r="AA12" s="2"/>
      <c r="AB12" s="2" t="n">
        <v>3</v>
      </c>
      <c r="AC12" s="2" t="n">
        <v>4</v>
      </c>
      <c r="AD12" s="2" t="n">
        <v>3</v>
      </c>
      <c r="AE12" s="2" t="n">
        <v>1</v>
      </c>
      <c r="AF12" s="2" t="n">
        <v>3</v>
      </c>
      <c r="AG12" s="2" t="n">
        <v>2</v>
      </c>
      <c r="AH12" s="2" t="n">
        <v>0</v>
      </c>
      <c r="AI12" s="2" t="n">
        <v>1</v>
      </c>
      <c r="AJ12" s="2" t="n">
        <v>1</v>
      </c>
      <c r="AK12" s="2" t="n">
        <v>0</v>
      </c>
      <c r="AL12" s="2" t="n">
        <v>0</v>
      </c>
      <c r="AM12" s="2" t="n">
        <v>0</v>
      </c>
      <c r="AN12" s="2" t="s">
        <v>195</v>
      </c>
      <c r="AO12" s="2" t="n">
        <v>4</v>
      </c>
      <c r="AP12" s="2" t="n">
        <v>3</v>
      </c>
      <c r="AQ12" s="2" t="n">
        <v>2</v>
      </c>
      <c r="AR12" s="2" t="n">
        <v>3</v>
      </c>
      <c r="AS12" s="2"/>
      <c r="AT12" s="2" t="n">
        <v>3</v>
      </c>
      <c r="AU12" s="2" t="n">
        <v>3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1</v>
      </c>
      <c r="BA12" s="2" t="s">
        <v>216</v>
      </c>
      <c r="BB12" s="2" t="s">
        <v>217</v>
      </c>
      <c r="BC12" s="2" t="n">
        <v>1</v>
      </c>
      <c r="BD12" s="2" t="n">
        <v>3</v>
      </c>
      <c r="BE12" s="2" t="n">
        <v>5</v>
      </c>
      <c r="BF12" s="2" t="n">
        <v>3</v>
      </c>
      <c r="BG12" s="2" t="n">
        <v>5</v>
      </c>
      <c r="BH12" s="2" t="n">
        <v>4</v>
      </c>
      <c r="BI12" s="2" t="n">
        <v>4</v>
      </c>
      <c r="BJ12" s="2" t="n">
        <v>3</v>
      </c>
      <c r="BK12" s="2" t="n">
        <v>2</v>
      </c>
      <c r="BL12" s="2" t="n">
        <v>4</v>
      </c>
      <c r="BM12" s="2" t="n">
        <v>4</v>
      </c>
      <c r="BN12" s="2" t="n">
        <v>1</v>
      </c>
      <c r="BO12" s="2" t="n">
        <v>2</v>
      </c>
      <c r="BP12" s="2" t="n">
        <v>4</v>
      </c>
      <c r="BQ12" s="2" t="n">
        <v>3</v>
      </c>
      <c r="BR12" s="2" t="n">
        <v>3</v>
      </c>
      <c r="BS12" s="2" t="n">
        <v>2</v>
      </c>
      <c r="BT12" s="2" t="n">
        <v>1</v>
      </c>
      <c r="BU12" s="2" t="n">
        <v>4</v>
      </c>
      <c r="BV12" s="2" t="n">
        <v>5</v>
      </c>
      <c r="BW12" s="2" t="n">
        <v>5</v>
      </c>
      <c r="BX12" s="2" t="n">
        <v>2</v>
      </c>
      <c r="BY12" s="2" t="n">
        <v>2</v>
      </c>
      <c r="BZ12" s="2" t="n">
        <v>5</v>
      </c>
      <c r="CA12" s="2" t="s">
        <v>115</v>
      </c>
      <c r="CB12" s="2" t="n">
        <v>1</v>
      </c>
      <c r="CC12" s="2" t="n">
        <v>0</v>
      </c>
      <c r="CD12" s="2" t="n">
        <v>0</v>
      </c>
      <c r="CE12" s="2" t="n">
        <v>1</v>
      </c>
      <c r="CF12" s="2" t="s">
        <v>218</v>
      </c>
      <c r="CG12" s="2" t="n">
        <v>5</v>
      </c>
      <c r="CH12" s="2" t="n">
        <v>4</v>
      </c>
      <c r="CI12" s="2" t="n">
        <v>5</v>
      </c>
      <c r="CJ12" s="2" t="n">
        <v>3</v>
      </c>
      <c r="CK12" s="2" t="s">
        <v>138</v>
      </c>
      <c r="CL12" s="2" t="s">
        <v>154</v>
      </c>
      <c r="CM12" s="2" t="s">
        <v>140</v>
      </c>
      <c r="CN12" s="2" t="s">
        <v>121</v>
      </c>
      <c r="CO12" s="2" t="s">
        <v>121</v>
      </c>
      <c r="CP12" s="2" t="s">
        <v>121</v>
      </c>
      <c r="CQ12" s="2" t="s">
        <v>121</v>
      </c>
      <c r="CR12" s="2"/>
      <c r="CS12" s="2"/>
      <c r="CT12" s="2"/>
    </row>
    <row r="13" customFormat="false" ht="15" hidden="false" customHeight="false" outlineLevel="0" collapsed="false">
      <c r="A13" s="2" t="n">
        <v>12</v>
      </c>
      <c r="B13" s="2" t="s">
        <v>219</v>
      </c>
      <c r="C13" s="2" t="s">
        <v>220</v>
      </c>
      <c r="D13" s="2" t="s">
        <v>157</v>
      </c>
      <c r="E13" s="2" t="s">
        <v>125</v>
      </c>
      <c r="F13" s="2" t="s">
        <v>179</v>
      </c>
      <c r="G13" s="2" t="s">
        <v>180</v>
      </c>
      <c r="H13" s="2" t="s">
        <v>159</v>
      </c>
      <c r="I13" s="2" t="s">
        <v>145</v>
      </c>
      <c r="J13" s="2" t="s">
        <v>106</v>
      </c>
      <c r="K13" s="2"/>
      <c r="L13" s="2" t="s">
        <v>147</v>
      </c>
      <c r="M13" s="2" t="s">
        <v>221</v>
      </c>
      <c r="N13" s="2" t="s">
        <v>167</v>
      </c>
      <c r="O13" s="2"/>
      <c r="P13" s="2" t="s">
        <v>109</v>
      </c>
      <c r="Q13" s="2" t="s">
        <v>148</v>
      </c>
      <c r="R13" s="2" t="s">
        <v>149</v>
      </c>
      <c r="S13" s="2"/>
      <c r="T13" s="2" t="n">
        <v>1</v>
      </c>
      <c r="U13" s="2" t="n">
        <v>1</v>
      </c>
      <c r="V13" s="2" t="n">
        <v>0</v>
      </c>
      <c r="W13" s="2" t="n">
        <v>0</v>
      </c>
      <c r="X13" s="2" t="s">
        <v>222</v>
      </c>
      <c r="Y13" s="2"/>
      <c r="Z13" s="2"/>
      <c r="AA13" s="2"/>
      <c r="AB13" s="2" t="n">
        <v>5</v>
      </c>
      <c r="AC13" s="2" t="n">
        <v>3</v>
      </c>
      <c r="AD13" s="2" t="n">
        <v>4</v>
      </c>
      <c r="AE13" s="2" t="n">
        <v>5</v>
      </c>
      <c r="AF13" s="2" t="n">
        <v>3</v>
      </c>
      <c r="AG13" s="2" t="n">
        <v>2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1</v>
      </c>
      <c r="AM13" s="2" t="n">
        <v>1</v>
      </c>
      <c r="AN13" s="2" t="s">
        <v>223</v>
      </c>
      <c r="AO13" s="2" t="n">
        <v>3</v>
      </c>
      <c r="AP13" s="2" t="n">
        <v>4</v>
      </c>
      <c r="AQ13" s="2" t="n">
        <v>3</v>
      </c>
      <c r="AR13" s="2" t="n">
        <v>3</v>
      </c>
      <c r="AS13" s="2" t="n">
        <v>3</v>
      </c>
      <c r="AT13" s="2" t="n">
        <v>4</v>
      </c>
      <c r="AU13" s="2" t="n">
        <v>5</v>
      </c>
      <c r="AV13" s="2" t="n">
        <v>0</v>
      </c>
      <c r="AW13" s="2" t="n">
        <v>1</v>
      </c>
      <c r="AX13" s="2" t="n">
        <v>0</v>
      </c>
      <c r="AY13" s="2" t="n">
        <v>1</v>
      </c>
      <c r="AZ13" s="2" t="n">
        <v>0</v>
      </c>
      <c r="BA13" s="2" t="s">
        <v>224</v>
      </c>
      <c r="BB13" s="2" t="s">
        <v>217</v>
      </c>
      <c r="BC13" s="2" t="n">
        <v>3</v>
      </c>
      <c r="BD13" s="2" t="n">
        <v>3</v>
      </c>
      <c r="BE13" s="2" t="n">
        <v>2</v>
      </c>
      <c r="BF13" s="2" t="n">
        <v>5</v>
      </c>
      <c r="BG13" s="2" t="n">
        <v>4</v>
      </c>
      <c r="BH13" s="2" t="n">
        <v>2</v>
      </c>
      <c r="BI13" s="2"/>
      <c r="BJ13" s="2" t="n">
        <v>3</v>
      </c>
      <c r="BK13" s="2" t="n">
        <v>4</v>
      </c>
      <c r="BL13" s="2" t="n">
        <v>5</v>
      </c>
      <c r="BM13" s="2" t="n">
        <v>3</v>
      </c>
      <c r="BN13" s="2" t="n">
        <v>3</v>
      </c>
      <c r="BO13" s="2" t="n">
        <v>5</v>
      </c>
      <c r="BP13" s="2" t="n">
        <v>1</v>
      </c>
      <c r="BQ13" s="2" t="n">
        <v>2</v>
      </c>
      <c r="BR13" s="2" t="n">
        <v>4</v>
      </c>
      <c r="BS13" s="2" t="n">
        <v>3</v>
      </c>
      <c r="BT13" s="2" t="n">
        <v>4</v>
      </c>
      <c r="BU13" s="2" t="n">
        <v>4</v>
      </c>
      <c r="BV13" s="2" t="n">
        <v>1</v>
      </c>
      <c r="BW13" s="2" t="n">
        <v>2</v>
      </c>
      <c r="BX13" s="2" t="n">
        <v>1</v>
      </c>
      <c r="BY13" s="2" t="n">
        <v>3</v>
      </c>
      <c r="BZ13" s="2" t="n">
        <v>4</v>
      </c>
      <c r="CA13" s="2" t="s">
        <v>189</v>
      </c>
      <c r="CB13" s="2" t="n">
        <v>0</v>
      </c>
      <c r="CC13" s="2" t="n">
        <v>1</v>
      </c>
      <c r="CD13" s="2" t="n">
        <v>0</v>
      </c>
      <c r="CE13" s="2" t="n">
        <v>0</v>
      </c>
      <c r="CF13" s="2" t="s">
        <v>117</v>
      </c>
      <c r="CG13" s="2" t="n">
        <v>3</v>
      </c>
      <c r="CH13" s="2" t="n">
        <v>4</v>
      </c>
      <c r="CI13" s="2" t="n">
        <v>3</v>
      </c>
      <c r="CJ13" s="2" t="n">
        <v>3</v>
      </c>
      <c r="CK13" s="2" t="s">
        <v>176</v>
      </c>
      <c r="CL13" s="2" t="s">
        <v>198</v>
      </c>
      <c r="CM13" s="2" t="s">
        <v>120</v>
      </c>
      <c r="CN13" s="2" t="s">
        <v>121</v>
      </c>
      <c r="CO13" s="2"/>
      <c r="CP13" s="2"/>
      <c r="CQ13" s="2" t="s">
        <v>121</v>
      </c>
      <c r="CR13" s="2"/>
      <c r="CS13" s="2"/>
      <c r="CT13" s="2"/>
    </row>
    <row r="14" customFormat="false" ht="15" hidden="false" customHeight="false" outlineLevel="0" collapsed="false">
      <c r="A14" s="2" t="n">
        <v>13</v>
      </c>
      <c r="B14" s="2" t="s">
        <v>225</v>
      </c>
      <c r="C14" s="2" t="s">
        <v>226</v>
      </c>
      <c r="D14" s="2" t="s">
        <v>227</v>
      </c>
      <c r="E14" s="2" t="s">
        <v>158</v>
      </c>
      <c r="F14" s="2" t="s">
        <v>102</v>
      </c>
      <c r="G14" s="2" t="s">
        <v>180</v>
      </c>
      <c r="H14" s="2" t="s">
        <v>181</v>
      </c>
      <c r="I14" s="2" t="s">
        <v>105</v>
      </c>
      <c r="J14" s="2" t="s">
        <v>146</v>
      </c>
      <c r="K14" s="2"/>
      <c r="L14" s="2" t="s">
        <v>182</v>
      </c>
      <c r="M14" s="2" t="s">
        <v>221</v>
      </c>
      <c r="N14" s="2" t="s">
        <v>108</v>
      </c>
      <c r="O14" s="2"/>
      <c r="P14" s="2" t="s">
        <v>149</v>
      </c>
      <c r="Q14" s="2" t="s">
        <v>184</v>
      </c>
      <c r="R14" s="2" t="s">
        <v>109</v>
      </c>
      <c r="S14" s="2" t="s">
        <v>162</v>
      </c>
      <c r="T14" s="2" t="n">
        <v>1</v>
      </c>
      <c r="U14" s="2" t="n">
        <v>0</v>
      </c>
      <c r="V14" s="2" t="n">
        <v>0</v>
      </c>
      <c r="W14" s="2" t="n">
        <v>1</v>
      </c>
      <c r="X14" s="2" t="s">
        <v>150</v>
      </c>
      <c r="Y14" s="2"/>
      <c r="Z14" s="2"/>
      <c r="AA14" s="2"/>
      <c r="AB14" s="2" t="n">
        <v>3</v>
      </c>
      <c r="AC14" s="2" t="n">
        <v>4</v>
      </c>
      <c r="AD14" s="2" t="n">
        <v>3</v>
      </c>
      <c r="AE14" s="2" t="n">
        <v>1</v>
      </c>
      <c r="AF14" s="2" t="n">
        <v>4</v>
      </c>
      <c r="AG14" s="2" t="n">
        <v>3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0</v>
      </c>
      <c r="AN14" s="2" t="s">
        <v>228</v>
      </c>
      <c r="AO14" s="2" t="n">
        <v>4</v>
      </c>
      <c r="AP14" s="2" t="n">
        <v>4</v>
      </c>
      <c r="AQ14" s="2" t="n">
        <v>3</v>
      </c>
      <c r="AR14" s="2" t="n">
        <v>5</v>
      </c>
      <c r="AS14" s="2" t="n">
        <v>1</v>
      </c>
      <c r="AT14" s="2" t="n">
        <v>4</v>
      </c>
      <c r="AU14" s="2" t="n">
        <v>4</v>
      </c>
      <c r="AV14" s="2" t="n">
        <v>1</v>
      </c>
      <c r="AW14" s="2" t="n">
        <v>0</v>
      </c>
      <c r="AX14" s="2" t="n">
        <v>0</v>
      </c>
      <c r="AY14" s="2" t="n">
        <v>0</v>
      </c>
      <c r="AZ14" s="2" t="n">
        <v>1</v>
      </c>
      <c r="BA14" s="2" t="s">
        <v>152</v>
      </c>
      <c r="BB14" s="2" t="s">
        <v>217</v>
      </c>
      <c r="BC14" s="2" t="n">
        <v>5</v>
      </c>
      <c r="BD14" s="2" t="n">
        <v>1</v>
      </c>
      <c r="BE14" s="2" t="n">
        <v>1</v>
      </c>
      <c r="BF14" s="2" t="n">
        <v>3</v>
      </c>
      <c r="BG14" s="2" t="n">
        <v>3</v>
      </c>
      <c r="BH14" s="2" t="n">
        <v>4</v>
      </c>
      <c r="BI14" s="2" t="n">
        <v>5</v>
      </c>
      <c r="BJ14" s="2" t="n">
        <v>2</v>
      </c>
      <c r="BK14" s="2" t="n">
        <v>3</v>
      </c>
      <c r="BL14" s="2" t="n">
        <v>4</v>
      </c>
      <c r="BM14" s="2" t="n">
        <v>3</v>
      </c>
      <c r="BN14" s="2" t="n">
        <v>3</v>
      </c>
      <c r="BO14" s="2" t="n">
        <v>3</v>
      </c>
      <c r="BP14" s="2" t="n">
        <v>5</v>
      </c>
      <c r="BQ14" s="2" t="n">
        <v>4</v>
      </c>
      <c r="BR14" s="2" t="n">
        <v>4</v>
      </c>
      <c r="BS14" s="2" t="n">
        <v>4</v>
      </c>
      <c r="BT14" s="2" t="n">
        <v>3</v>
      </c>
      <c r="BU14" s="2" t="n">
        <v>3</v>
      </c>
      <c r="BV14" s="2" t="n">
        <v>2</v>
      </c>
      <c r="BW14" s="2" t="n">
        <v>3</v>
      </c>
      <c r="BX14" s="2" t="n">
        <v>3</v>
      </c>
      <c r="BY14" s="2" t="n">
        <v>1</v>
      </c>
      <c r="BZ14" s="2" t="n">
        <v>2</v>
      </c>
      <c r="CA14" s="2" t="s">
        <v>213</v>
      </c>
      <c r="CB14" s="2" t="n">
        <v>1</v>
      </c>
      <c r="CC14" s="2" t="n">
        <v>0</v>
      </c>
      <c r="CD14" s="2" t="n">
        <v>0</v>
      </c>
      <c r="CE14" s="2" t="n">
        <v>0</v>
      </c>
      <c r="CF14" s="2" t="s">
        <v>229</v>
      </c>
      <c r="CG14" s="2" t="n">
        <v>5</v>
      </c>
      <c r="CH14" s="2" t="n">
        <v>3</v>
      </c>
      <c r="CI14" s="2" t="n">
        <v>5</v>
      </c>
      <c r="CJ14" s="2" t="n">
        <v>5</v>
      </c>
      <c r="CK14" s="2" t="s">
        <v>167</v>
      </c>
      <c r="CL14" s="2" t="s">
        <v>198</v>
      </c>
      <c r="CM14" s="2" t="s">
        <v>140</v>
      </c>
      <c r="CN14" s="2" t="s">
        <v>121</v>
      </c>
      <c r="CO14" s="2" t="s">
        <v>122</v>
      </c>
      <c r="CP14" s="2"/>
      <c r="CQ14" s="2" t="s">
        <v>122</v>
      </c>
      <c r="CR14" s="2" t="s">
        <v>141</v>
      </c>
      <c r="CS14" s="2"/>
      <c r="CT14" s="2"/>
    </row>
    <row r="15" customFormat="false" ht="15" hidden="false" customHeight="false" outlineLevel="0" collapsed="false">
      <c r="A15" s="2" t="n">
        <v>14</v>
      </c>
      <c r="B15" s="2" t="s">
        <v>230</v>
      </c>
      <c r="C15" s="2" t="s">
        <v>231</v>
      </c>
      <c r="D15" s="2" t="s">
        <v>100</v>
      </c>
      <c r="E15" s="2" t="s">
        <v>158</v>
      </c>
      <c r="F15" s="2" t="s">
        <v>179</v>
      </c>
      <c r="G15" s="2" t="s">
        <v>180</v>
      </c>
      <c r="H15" s="2" t="s">
        <v>104</v>
      </c>
      <c r="I15" s="2" t="s">
        <v>145</v>
      </c>
      <c r="J15" s="2" t="s">
        <v>106</v>
      </c>
      <c r="K15" s="2"/>
      <c r="L15" s="2" t="s">
        <v>172</v>
      </c>
      <c r="M15" s="2" t="s">
        <v>107</v>
      </c>
      <c r="N15" s="2" t="s">
        <v>167</v>
      </c>
      <c r="O15" s="2"/>
      <c r="P15" s="2" t="s">
        <v>149</v>
      </c>
      <c r="Q15" s="2" t="s">
        <v>148</v>
      </c>
      <c r="R15" s="2" t="s">
        <v>149</v>
      </c>
      <c r="S15" s="2" t="s">
        <v>232</v>
      </c>
      <c r="T15" s="2" t="n">
        <v>0</v>
      </c>
      <c r="U15" s="2" t="n">
        <v>1</v>
      </c>
      <c r="V15" s="2" t="n">
        <v>1</v>
      </c>
      <c r="W15" s="2" t="n">
        <v>0</v>
      </c>
      <c r="X15" s="2" t="s">
        <v>233</v>
      </c>
      <c r="Y15" s="2"/>
      <c r="Z15" s="2"/>
      <c r="AA15" s="2"/>
      <c r="AB15" s="2" t="n">
        <v>4</v>
      </c>
      <c r="AC15" s="2" t="n">
        <v>3</v>
      </c>
      <c r="AD15" s="2" t="n">
        <v>4</v>
      </c>
      <c r="AE15" s="2" t="n">
        <v>1</v>
      </c>
      <c r="AF15" s="2" t="n">
        <v>2</v>
      </c>
      <c r="AG15" s="2" t="n">
        <v>3</v>
      </c>
      <c r="AH15" s="2" t="n">
        <v>0</v>
      </c>
      <c r="AI15" s="2" t="n">
        <v>0</v>
      </c>
      <c r="AJ15" s="2" t="n">
        <v>0</v>
      </c>
      <c r="AK15" s="2" t="n">
        <v>1</v>
      </c>
      <c r="AL15" s="2" t="n">
        <v>0</v>
      </c>
      <c r="AM15" s="2" t="n">
        <v>0</v>
      </c>
      <c r="AN15" s="2" t="s">
        <v>202</v>
      </c>
      <c r="AO15" s="2" t="n">
        <v>5</v>
      </c>
      <c r="AP15" s="2" t="n">
        <v>3</v>
      </c>
      <c r="AQ15" s="2" t="n">
        <v>5</v>
      </c>
      <c r="AR15" s="2" t="n">
        <v>3</v>
      </c>
      <c r="AS15" s="2" t="n">
        <v>4</v>
      </c>
      <c r="AT15" s="2" t="n">
        <v>2</v>
      </c>
      <c r="AU15" s="2" t="n">
        <v>4</v>
      </c>
      <c r="AV15" s="2" t="n">
        <v>0</v>
      </c>
      <c r="AW15" s="2" t="n">
        <v>0</v>
      </c>
      <c r="AX15" s="2" t="n">
        <v>0</v>
      </c>
      <c r="AY15" s="2" t="n">
        <v>1</v>
      </c>
      <c r="AZ15" s="2" t="n">
        <v>0</v>
      </c>
      <c r="BA15" s="2" t="s">
        <v>114</v>
      </c>
      <c r="BB15" s="2" t="s">
        <v>217</v>
      </c>
      <c r="BC15" s="2" t="n">
        <v>4</v>
      </c>
      <c r="BD15" s="2" t="n">
        <v>4</v>
      </c>
      <c r="BE15" s="2" t="n">
        <v>4</v>
      </c>
      <c r="BF15" s="2" t="n">
        <v>2</v>
      </c>
      <c r="BG15" s="2" t="n">
        <v>3</v>
      </c>
      <c r="BH15" s="2" t="n">
        <v>1</v>
      </c>
      <c r="BI15" s="2" t="n">
        <v>2</v>
      </c>
      <c r="BJ15" s="2" t="n">
        <v>1</v>
      </c>
      <c r="BK15" s="2" t="n">
        <v>4</v>
      </c>
      <c r="BL15" s="2" t="n">
        <v>3</v>
      </c>
      <c r="BM15" s="2" t="n">
        <v>5</v>
      </c>
      <c r="BN15" s="2" t="n">
        <v>5</v>
      </c>
      <c r="BO15" s="2"/>
      <c r="BP15" s="2" t="n">
        <v>3</v>
      </c>
      <c r="BQ15" s="2" t="n">
        <v>2</v>
      </c>
      <c r="BR15" s="2" t="n">
        <v>1</v>
      </c>
      <c r="BS15" s="2" t="n">
        <v>4</v>
      </c>
      <c r="BT15" s="2" t="n">
        <v>4</v>
      </c>
      <c r="BU15" s="2" t="n">
        <v>2</v>
      </c>
      <c r="BV15" s="2" t="n">
        <v>3</v>
      </c>
      <c r="BW15" s="2" t="n">
        <v>4</v>
      </c>
      <c r="BX15" s="2" t="n">
        <v>2</v>
      </c>
      <c r="BY15" s="2" t="n">
        <v>3</v>
      </c>
      <c r="BZ15" s="2" t="n">
        <v>1</v>
      </c>
      <c r="CA15" s="2" t="s">
        <v>189</v>
      </c>
      <c r="CB15" s="2" t="n">
        <v>1</v>
      </c>
      <c r="CC15" s="2" t="n">
        <v>1</v>
      </c>
      <c r="CD15" s="2" t="n">
        <v>0</v>
      </c>
      <c r="CE15" s="2" t="n">
        <v>0</v>
      </c>
      <c r="CF15" s="2" t="s">
        <v>197</v>
      </c>
      <c r="CG15" s="2" t="n">
        <v>3</v>
      </c>
      <c r="CH15" s="2" t="n">
        <v>3</v>
      </c>
      <c r="CI15" s="2" t="n">
        <v>3</v>
      </c>
      <c r="CJ15" s="2" t="n">
        <v>2</v>
      </c>
      <c r="CK15" s="2" t="s">
        <v>118</v>
      </c>
      <c r="CL15" s="2" t="s">
        <v>139</v>
      </c>
      <c r="CM15" s="2" t="s">
        <v>177</v>
      </c>
      <c r="CN15" s="2" t="s">
        <v>121</v>
      </c>
      <c r="CO15" s="2" t="s">
        <v>122</v>
      </c>
      <c r="CP15" s="2" t="s">
        <v>122</v>
      </c>
      <c r="CQ15" s="2" t="s">
        <v>121</v>
      </c>
      <c r="CR15" s="2" t="s">
        <v>141</v>
      </c>
      <c r="CS15" s="2"/>
      <c r="CT15" s="2"/>
    </row>
    <row r="16" customFormat="false" ht="15" hidden="false" customHeight="false" outlineLevel="0" collapsed="false">
      <c r="A16" s="2" t="n">
        <v>15</v>
      </c>
      <c r="B16" s="2" t="s">
        <v>234</v>
      </c>
      <c r="C16" s="2" t="s">
        <v>235</v>
      </c>
      <c r="D16" s="2" t="s">
        <v>192</v>
      </c>
      <c r="E16" s="2" t="s">
        <v>193</v>
      </c>
      <c r="F16" s="2" t="s">
        <v>179</v>
      </c>
      <c r="G16" s="2"/>
      <c r="H16" s="2" t="s">
        <v>126</v>
      </c>
      <c r="I16" s="2" t="s">
        <v>105</v>
      </c>
      <c r="J16" s="2" t="s">
        <v>128</v>
      </c>
      <c r="K16" s="2"/>
      <c r="L16" s="2" t="s">
        <v>129</v>
      </c>
      <c r="M16" s="2"/>
      <c r="N16" s="2" t="s">
        <v>108</v>
      </c>
      <c r="O16" s="2"/>
      <c r="P16" s="2" t="s">
        <v>109</v>
      </c>
      <c r="Q16" s="2" t="s">
        <v>148</v>
      </c>
      <c r="R16" s="2" t="s">
        <v>109</v>
      </c>
      <c r="S16" s="2" t="s">
        <v>111</v>
      </c>
      <c r="T16" s="2" t="n">
        <v>1</v>
      </c>
      <c r="U16" s="2" t="n">
        <v>0</v>
      </c>
      <c r="V16" s="2" t="n">
        <v>0</v>
      </c>
      <c r="W16" s="2" t="n">
        <v>1</v>
      </c>
      <c r="X16" s="2" t="s">
        <v>236</v>
      </c>
      <c r="Y16" s="2" t="n">
        <v>4</v>
      </c>
      <c r="Z16" s="2" t="n">
        <v>3</v>
      </c>
      <c r="AA16" s="2" t="n">
        <v>4</v>
      </c>
      <c r="AB16" s="2" t="n">
        <v>3</v>
      </c>
      <c r="AC16" s="2" t="n">
        <v>2</v>
      </c>
      <c r="AD16" s="2" t="n">
        <v>3</v>
      </c>
      <c r="AE16" s="2" t="n">
        <v>4</v>
      </c>
      <c r="AF16" s="2" t="n">
        <v>2</v>
      </c>
      <c r="AG16" s="2" t="n">
        <v>3</v>
      </c>
      <c r="AH16" s="2" t="n">
        <v>1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1</v>
      </c>
      <c r="AN16" s="2" t="s">
        <v>237</v>
      </c>
      <c r="AO16" s="2" t="n">
        <v>1</v>
      </c>
      <c r="AP16" s="2" t="n">
        <v>4</v>
      </c>
      <c r="AQ16" s="2" t="n">
        <v>3</v>
      </c>
      <c r="AR16" s="2" t="n">
        <v>1</v>
      </c>
      <c r="AS16" s="2" t="n">
        <v>2</v>
      </c>
      <c r="AT16" s="2" t="n">
        <v>4</v>
      </c>
      <c r="AU16" s="2" t="n">
        <v>5</v>
      </c>
      <c r="AV16" s="2" t="n">
        <v>0</v>
      </c>
      <c r="AW16" s="2" t="n">
        <v>1</v>
      </c>
      <c r="AX16" s="2" t="n">
        <v>0</v>
      </c>
      <c r="AY16" s="2" t="n">
        <v>0</v>
      </c>
      <c r="AZ16" s="2" t="n">
        <v>1</v>
      </c>
      <c r="BA16" s="2" t="s">
        <v>238</v>
      </c>
      <c r="BB16" s="2" t="s">
        <v>217</v>
      </c>
      <c r="BC16" s="2" t="n">
        <v>4</v>
      </c>
      <c r="BD16" s="2" t="n">
        <v>5</v>
      </c>
      <c r="BE16" s="2" t="n">
        <v>3</v>
      </c>
      <c r="BF16" s="2" t="n">
        <v>4</v>
      </c>
      <c r="BG16" s="2" t="n">
        <v>4</v>
      </c>
      <c r="BH16" s="2" t="n">
        <v>2</v>
      </c>
      <c r="BI16" s="2" t="n">
        <v>4</v>
      </c>
      <c r="BJ16" s="2" t="n">
        <v>3</v>
      </c>
      <c r="BK16" s="2" t="n">
        <v>1</v>
      </c>
      <c r="BL16" s="2" t="n">
        <v>4</v>
      </c>
      <c r="BM16" s="2" t="n">
        <v>3</v>
      </c>
      <c r="BN16" s="2" t="n">
        <v>3</v>
      </c>
      <c r="BO16" s="2" t="n">
        <v>5</v>
      </c>
      <c r="BP16" s="2" t="n">
        <v>2</v>
      </c>
      <c r="BQ16" s="2" t="n">
        <v>4</v>
      </c>
      <c r="BR16" s="2" t="n">
        <v>5</v>
      </c>
      <c r="BS16" s="2" t="n">
        <v>3</v>
      </c>
      <c r="BT16" s="2" t="n">
        <v>2</v>
      </c>
      <c r="BU16" s="2" t="n">
        <v>4</v>
      </c>
      <c r="BV16" s="2" t="n">
        <v>2</v>
      </c>
      <c r="BW16" s="2" t="n">
        <v>5</v>
      </c>
      <c r="BX16" s="2" t="n">
        <v>4</v>
      </c>
      <c r="BY16" s="2" t="n">
        <v>3</v>
      </c>
      <c r="BZ16" s="2" t="n">
        <v>3</v>
      </c>
      <c r="CA16" s="2" t="s">
        <v>213</v>
      </c>
      <c r="CB16" s="2" t="n">
        <v>1</v>
      </c>
      <c r="CC16" s="2" t="n">
        <v>0</v>
      </c>
      <c r="CD16" s="2" t="n">
        <v>1</v>
      </c>
      <c r="CE16" s="2" t="n">
        <v>0</v>
      </c>
      <c r="CF16" s="2" t="s">
        <v>239</v>
      </c>
      <c r="CG16" s="2" t="n">
        <v>3</v>
      </c>
      <c r="CH16" s="2" t="n">
        <v>2</v>
      </c>
      <c r="CI16" s="2" t="n">
        <v>4</v>
      </c>
      <c r="CJ16" s="2" t="n">
        <v>4</v>
      </c>
      <c r="CK16" s="2" t="s">
        <v>118</v>
      </c>
      <c r="CL16" s="2" t="s">
        <v>119</v>
      </c>
      <c r="CM16" s="2" t="s">
        <v>140</v>
      </c>
      <c r="CN16" s="2"/>
      <c r="CO16" s="2"/>
      <c r="CP16" s="2" t="s">
        <v>122</v>
      </c>
      <c r="CQ16" s="2"/>
      <c r="CR16" s="2"/>
      <c r="CS16" s="2"/>
      <c r="CT16" s="2"/>
    </row>
    <row r="17" customFormat="false" ht="15" hidden="false" customHeight="false" outlineLevel="0" collapsed="false">
      <c r="A17" s="2" t="n">
        <v>16</v>
      </c>
      <c r="B17" s="2" t="s">
        <v>240</v>
      </c>
      <c r="C17" s="2" t="s">
        <v>241</v>
      </c>
      <c r="D17" s="2" t="s">
        <v>208</v>
      </c>
      <c r="E17" s="2" t="s">
        <v>125</v>
      </c>
      <c r="F17" s="2" t="s">
        <v>179</v>
      </c>
      <c r="G17" s="2"/>
      <c r="H17" s="2" t="s">
        <v>159</v>
      </c>
      <c r="I17" s="2" t="s">
        <v>145</v>
      </c>
      <c r="J17" s="2" t="s">
        <v>146</v>
      </c>
      <c r="K17" s="2"/>
      <c r="L17" s="2" t="s">
        <v>129</v>
      </c>
      <c r="M17" s="2" t="s">
        <v>130</v>
      </c>
      <c r="N17" s="2" t="s">
        <v>108</v>
      </c>
      <c r="O17" s="2"/>
      <c r="P17" s="2" t="s">
        <v>109</v>
      </c>
      <c r="Q17" s="2" t="s">
        <v>184</v>
      </c>
      <c r="R17" s="2" t="s">
        <v>109</v>
      </c>
      <c r="S17" s="2" t="s">
        <v>132</v>
      </c>
      <c r="T17" s="2" t="n">
        <v>1</v>
      </c>
      <c r="U17" s="2" t="n">
        <v>0</v>
      </c>
      <c r="V17" s="2" t="n">
        <v>0</v>
      </c>
      <c r="W17" s="2" t="n">
        <v>1</v>
      </c>
      <c r="X17" s="2" t="s">
        <v>150</v>
      </c>
      <c r="Y17" s="2"/>
      <c r="Z17" s="2"/>
      <c r="AA17" s="2"/>
      <c r="AB17" s="2" t="n">
        <v>4</v>
      </c>
      <c r="AC17" s="2" t="n">
        <v>4</v>
      </c>
      <c r="AD17" s="2" t="n">
        <v>2</v>
      </c>
      <c r="AE17" s="2"/>
      <c r="AF17" s="2" t="n">
        <v>5</v>
      </c>
      <c r="AG17" s="2" t="n">
        <v>2</v>
      </c>
      <c r="AH17" s="2" t="n">
        <v>0</v>
      </c>
      <c r="AI17" s="2" t="n">
        <v>0</v>
      </c>
      <c r="AJ17" s="2" t="n">
        <v>1</v>
      </c>
      <c r="AK17" s="2" t="n">
        <v>0</v>
      </c>
      <c r="AL17" s="2" t="n">
        <v>0</v>
      </c>
      <c r="AM17" s="2" t="n">
        <v>0</v>
      </c>
      <c r="AN17" s="2" t="s">
        <v>113</v>
      </c>
      <c r="AO17" s="2" t="n">
        <v>3</v>
      </c>
      <c r="AP17" s="2" t="n">
        <v>4</v>
      </c>
      <c r="AQ17" s="2" t="n">
        <v>3</v>
      </c>
      <c r="AR17" s="2" t="n">
        <v>2</v>
      </c>
      <c r="AS17" s="2" t="n">
        <v>3</v>
      </c>
      <c r="AT17" s="2" t="n">
        <v>2</v>
      </c>
      <c r="AU17" s="2" t="n">
        <v>1</v>
      </c>
      <c r="AV17" s="2" t="n">
        <v>1</v>
      </c>
      <c r="AW17" s="2" t="n">
        <v>0</v>
      </c>
      <c r="AX17" s="2" t="n">
        <v>0</v>
      </c>
      <c r="AY17" s="2" t="n">
        <v>1</v>
      </c>
      <c r="AZ17" s="2" t="n">
        <v>0</v>
      </c>
      <c r="BA17" s="2" t="s">
        <v>242</v>
      </c>
      <c r="BB17" s="2" t="s">
        <v>135</v>
      </c>
      <c r="BC17" s="2" t="n">
        <v>4</v>
      </c>
      <c r="BD17" s="2" t="n">
        <v>5</v>
      </c>
      <c r="BE17" s="2" t="n">
        <v>4</v>
      </c>
      <c r="BF17" s="2" t="n">
        <v>4</v>
      </c>
      <c r="BG17" s="2" t="n">
        <v>4</v>
      </c>
      <c r="BH17" s="2" t="n">
        <v>5</v>
      </c>
      <c r="BI17" s="2" t="n">
        <v>2</v>
      </c>
      <c r="BJ17" s="2" t="n">
        <v>3</v>
      </c>
      <c r="BK17" s="2" t="n">
        <v>3</v>
      </c>
      <c r="BL17" s="2" t="n">
        <v>3</v>
      </c>
      <c r="BM17" s="2" t="n">
        <v>4</v>
      </c>
      <c r="BN17" s="2" t="n">
        <v>4</v>
      </c>
      <c r="BO17" s="2" t="n">
        <v>3</v>
      </c>
      <c r="BP17" s="2" t="n">
        <v>3</v>
      </c>
      <c r="BQ17" s="2" t="n">
        <v>2</v>
      </c>
      <c r="BR17" s="2" t="n">
        <v>2</v>
      </c>
      <c r="BS17" s="2" t="n">
        <v>1</v>
      </c>
      <c r="BT17" s="2" t="n">
        <v>5</v>
      </c>
      <c r="BU17" s="2" t="n">
        <v>4</v>
      </c>
      <c r="BV17" s="2" t="n">
        <v>5</v>
      </c>
      <c r="BW17" s="2" t="n">
        <v>5</v>
      </c>
      <c r="BX17" s="2" t="n">
        <v>3</v>
      </c>
      <c r="BY17" s="2" t="n">
        <v>1</v>
      </c>
      <c r="BZ17" s="2" t="n">
        <v>2</v>
      </c>
      <c r="CA17" s="2" t="s">
        <v>115</v>
      </c>
      <c r="CB17" s="2" t="n">
        <v>1</v>
      </c>
      <c r="CC17" s="2" t="n">
        <v>0</v>
      </c>
      <c r="CD17" s="2" t="n">
        <v>1</v>
      </c>
      <c r="CE17" s="2" t="n">
        <v>0</v>
      </c>
      <c r="CF17" s="2" t="s">
        <v>243</v>
      </c>
      <c r="CG17" s="2" t="n">
        <v>1</v>
      </c>
      <c r="CH17" s="2" t="n">
        <v>3</v>
      </c>
      <c r="CI17" s="2" t="n">
        <v>4</v>
      </c>
      <c r="CJ17" s="2" t="n">
        <v>3</v>
      </c>
      <c r="CK17" s="2" t="s">
        <v>138</v>
      </c>
      <c r="CL17" s="2" t="s">
        <v>119</v>
      </c>
      <c r="CM17" s="2" t="s">
        <v>168</v>
      </c>
      <c r="CN17" s="2"/>
      <c r="CO17" s="2"/>
      <c r="CP17" s="2" t="s">
        <v>121</v>
      </c>
      <c r="CQ17" s="2"/>
      <c r="CR17" s="2"/>
      <c r="CS17" s="2"/>
      <c r="CT17" s="2"/>
    </row>
    <row r="18" customFormat="false" ht="15" hidden="false" customHeight="false" outlineLevel="0" collapsed="false">
      <c r="A18" s="2" t="n">
        <v>17</v>
      </c>
      <c r="B18" s="2" t="s">
        <v>244</v>
      </c>
      <c r="C18" s="2" t="s">
        <v>245</v>
      </c>
      <c r="D18" s="2" t="s">
        <v>192</v>
      </c>
      <c r="E18" s="2" t="s">
        <v>101</v>
      </c>
      <c r="F18" s="2" t="s">
        <v>102</v>
      </c>
      <c r="G18" s="2" t="s">
        <v>103</v>
      </c>
      <c r="H18" s="2" t="s">
        <v>104</v>
      </c>
      <c r="I18" s="2" t="s">
        <v>145</v>
      </c>
      <c r="J18" s="2" t="s">
        <v>106</v>
      </c>
      <c r="K18" s="2"/>
      <c r="L18" s="2" t="s">
        <v>182</v>
      </c>
      <c r="M18" s="2" t="s">
        <v>221</v>
      </c>
      <c r="N18" s="2" t="s">
        <v>209</v>
      </c>
      <c r="O18" s="2"/>
      <c r="P18" s="2" t="s">
        <v>149</v>
      </c>
      <c r="Q18" s="2" t="s">
        <v>131</v>
      </c>
      <c r="R18" s="2" t="s">
        <v>149</v>
      </c>
      <c r="S18" s="2" t="s">
        <v>132</v>
      </c>
      <c r="T18" s="2" t="n">
        <v>1</v>
      </c>
      <c r="U18" s="2" t="n">
        <v>0</v>
      </c>
      <c r="V18" s="2" t="n">
        <v>1</v>
      </c>
      <c r="W18" s="2" t="n">
        <v>0</v>
      </c>
      <c r="X18" s="2" t="s">
        <v>173</v>
      </c>
      <c r="Y18" s="2"/>
      <c r="Z18" s="2"/>
      <c r="AA18" s="2"/>
      <c r="AB18" s="2" t="n">
        <v>2</v>
      </c>
      <c r="AC18" s="2" t="n">
        <v>4</v>
      </c>
      <c r="AD18" s="2" t="n">
        <v>4</v>
      </c>
      <c r="AE18" s="2" t="n">
        <v>3</v>
      </c>
      <c r="AF18" s="2" t="n">
        <v>4</v>
      </c>
      <c r="AG18" s="2" t="n">
        <v>1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1</v>
      </c>
      <c r="AN18" s="2" t="s">
        <v>167</v>
      </c>
      <c r="AO18" s="2" t="n">
        <v>4</v>
      </c>
      <c r="AP18" s="2" t="n">
        <v>3</v>
      </c>
      <c r="AQ18" s="2"/>
      <c r="AR18" s="2"/>
      <c r="AS18" s="2" t="n">
        <v>1</v>
      </c>
      <c r="AT18" s="2" t="n">
        <v>2</v>
      </c>
      <c r="AU18" s="2"/>
      <c r="AV18" s="2" t="n">
        <v>0</v>
      </c>
      <c r="AW18" s="2" t="n">
        <v>0</v>
      </c>
      <c r="AX18" s="2" t="n">
        <v>1</v>
      </c>
      <c r="AY18" s="2" t="n">
        <v>0</v>
      </c>
      <c r="AZ18" s="2" t="n">
        <v>1</v>
      </c>
      <c r="BA18" s="2" t="s">
        <v>246</v>
      </c>
      <c r="BB18" s="2" t="s">
        <v>217</v>
      </c>
      <c r="BC18" s="2" t="n">
        <v>5</v>
      </c>
      <c r="BD18" s="2" t="n">
        <v>4</v>
      </c>
      <c r="BE18" s="2" t="n">
        <v>2</v>
      </c>
      <c r="BF18" s="2" t="n">
        <v>2</v>
      </c>
      <c r="BG18" s="2" t="n">
        <v>4</v>
      </c>
      <c r="BH18" s="2" t="n">
        <v>2</v>
      </c>
      <c r="BI18" s="2" t="n">
        <v>2</v>
      </c>
      <c r="BJ18" s="2" t="n">
        <v>3</v>
      </c>
      <c r="BK18" s="2" t="n">
        <v>3</v>
      </c>
      <c r="BL18" s="2" t="n">
        <v>3</v>
      </c>
      <c r="BM18" s="2" t="n">
        <v>3</v>
      </c>
      <c r="BN18" s="2" t="n">
        <v>2</v>
      </c>
      <c r="BO18" s="2" t="n">
        <v>3</v>
      </c>
      <c r="BP18" s="2" t="n">
        <v>5</v>
      </c>
      <c r="BQ18" s="2" t="n">
        <v>2</v>
      </c>
      <c r="BR18" s="2" t="n">
        <v>2</v>
      </c>
      <c r="BS18" s="2" t="n">
        <v>5</v>
      </c>
      <c r="BT18" s="2" t="n">
        <v>4</v>
      </c>
      <c r="BU18" s="2" t="n">
        <v>3</v>
      </c>
      <c r="BV18" s="2" t="n">
        <v>5</v>
      </c>
      <c r="BW18" s="2" t="n">
        <v>5</v>
      </c>
      <c r="BX18" s="2"/>
      <c r="BY18" s="2" t="n">
        <v>3</v>
      </c>
      <c r="BZ18" s="2" t="n">
        <v>5</v>
      </c>
      <c r="CA18" s="2" t="s">
        <v>136</v>
      </c>
      <c r="CB18" s="2" t="n">
        <v>0</v>
      </c>
      <c r="CC18" s="2" t="n">
        <v>0</v>
      </c>
      <c r="CD18" s="2" t="n">
        <v>1</v>
      </c>
      <c r="CE18" s="2" t="n">
        <v>0</v>
      </c>
      <c r="CF18" s="2" t="s">
        <v>137</v>
      </c>
      <c r="CG18" s="2" t="n">
        <v>3</v>
      </c>
      <c r="CH18" s="2"/>
      <c r="CI18" s="2" t="n">
        <v>5</v>
      </c>
      <c r="CJ18" s="2" t="n">
        <v>3</v>
      </c>
      <c r="CK18" s="2" t="s">
        <v>176</v>
      </c>
      <c r="CL18" s="2" t="s">
        <v>198</v>
      </c>
      <c r="CM18" s="2" t="s">
        <v>177</v>
      </c>
      <c r="CN18" s="2" t="s">
        <v>121</v>
      </c>
      <c r="CO18" s="2" t="s">
        <v>122</v>
      </c>
      <c r="CP18" s="2"/>
      <c r="CQ18" s="2" t="s">
        <v>122</v>
      </c>
      <c r="CR18" s="2" t="s">
        <v>141</v>
      </c>
      <c r="CS18" s="2"/>
      <c r="CT18" s="2"/>
    </row>
    <row r="19" customFormat="false" ht="15" hidden="false" customHeight="false" outlineLevel="0" collapsed="false">
      <c r="A19" s="2" t="n">
        <v>18</v>
      </c>
      <c r="B19" s="2" t="s">
        <v>247</v>
      </c>
      <c r="C19" s="2" t="s">
        <v>248</v>
      </c>
      <c r="D19" s="2" t="s">
        <v>100</v>
      </c>
      <c r="E19" s="2" t="s">
        <v>193</v>
      </c>
      <c r="F19" s="2" t="s">
        <v>179</v>
      </c>
      <c r="G19" s="2" t="s">
        <v>103</v>
      </c>
      <c r="H19" s="2"/>
      <c r="I19" s="2" t="s">
        <v>127</v>
      </c>
      <c r="J19" s="2" t="s">
        <v>128</v>
      </c>
      <c r="K19" s="2"/>
      <c r="L19" s="2"/>
      <c r="M19" s="2" t="s">
        <v>130</v>
      </c>
      <c r="N19" s="2" t="s">
        <v>209</v>
      </c>
      <c r="O19" s="2"/>
      <c r="P19" s="2" t="s">
        <v>149</v>
      </c>
      <c r="Q19" s="2" t="s">
        <v>148</v>
      </c>
      <c r="R19" s="2" t="s">
        <v>149</v>
      </c>
      <c r="S19" s="2"/>
      <c r="T19" s="2" t="n">
        <v>1</v>
      </c>
      <c r="U19" s="2" t="n">
        <v>0</v>
      </c>
      <c r="V19" s="2" t="n">
        <v>0</v>
      </c>
      <c r="W19" s="2" t="n">
        <v>1</v>
      </c>
      <c r="X19" s="2" t="s">
        <v>236</v>
      </c>
      <c r="Y19" s="2" t="n">
        <v>3</v>
      </c>
      <c r="Z19" s="2" t="n">
        <v>5</v>
      </c>
      <c r="AA19" s="2" t="n">
        <v>3</v>
      </c>
      <c r="AB19" s="2" t="n">
        <v>4</v>
      </c>
      <c r="AC19" s="2" t="n">
        <v>2</v>
      </c>
      <c r="AD19" s="2" t="n">
        <v>5</v>
      </c>
      <c r="AE19" s="2" t="n">
        <v>2</v>
      </c>
      <c r="AF19" s="2" t="n">
        <v>4</v>
      </c>
      <c r="AG19" s="2" t="n">
        <v>4</v>
      </c>
      <c r="AH19" s="2" t="n">
        <v>1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1</v>
      </c>
      <c r="AN19" s="2" t="s">
        <v>237</v>
      </c>
      <c r="AO19" s="2" t="n">
        <v>3</v>
      </c>
      <c r="AP19" s="2" t="n">
        <v>5</v>
      </c>
      <c r="AQ19" s="2" t="n">
        <v>3</v>
      </c>
      <c r="AR19" s="2" t="n">
        <v>4</v>
      </c>
      <c r="AS19" s="2" t="n">
        <v>3</v>
      </c>
      <c r="AT19" s="2" t="n">
        <v>2</v>
      </c>
      <c r="AU19" s="2" t="n">
        <v>4</v>
      </c>
      <c r="AV19" s="2" t="n">
        <v>0</v>
      </c>
      <c r="AW19" s="2" t="n">
        <v>0</v>
      </c>
      <c r="AX19" s="2" t="n">
        <v>0</v>
      </c>
      <c r="AY19" s="2" t="n">
        <v>1</v>
      </c>
      <c r="AZ19" s="2" t="n">
        <v>0</v>
      </c>
      <c r="BA19" s="2" t="s">
        <v>114</v>
      </c>
      <c r="BB19" s="2" t="s">
        <v>115</v>
      </c>
      <c r="BC19" s="2" t="n">
        <v>3</v>
      </c>
      <c r="BD19" s="2" t="n">
        <v>2</v>
      </c>
      <c r="BE19" s="2" t="n">
        <v>2</v>
      </c>
      <c r="BF19" s="2" t="n">
        <v>3</v>
      </c>
      <c r="BG19" s="2" t="n">
        <v>3</v>
      </c>
      <c r="BH19" s="2" t="n">
        <v>2</v>
      </c>
      <c r="BI19" s="2" t="n">
        <v>5</v>
      </c>
      <c r="BJ19" s="2" t="n">
        <v>5</v>
      </c>
      <c r="BK19" s="2" t="n">
        <v>4</v>
      </c>
      <c r="BL19" s="2" t="n">
        <v>5</v>
      </c>
      <c r="BM19" s="2" t="n">
        <v>3</v>
      </c>
      <c r="BN19" s="2" t="n">
        <v>5</v>
      </c>
      <c r="BO19" s="2" t="n">
        <v>5</v>
      </c>
      <c r="BP19" s="2" t="n">
        <v>2</v>
      </c>
      <c r="BQ19" s="2" t="n">
        <v>3</v>
      </c>
      <c r="BR19" s="2" t="n">
        <v>5</v>
      </c>
      <c r="BS19" s="2" t="n">
        <v>4</v>
      </c>
      <c r="BT19" s="2" t="n">
        <v>2</v>
      </c>
      <c r="BU19" s="2" t="n">
        <v>2</v>
      </c>
      <c r="BV19" s="2" t="n">
        <v>2</v>
      </c>
      <c r="BW19" s="2" t="n">
        <v>4</v>
      </c>
      <c r="BX19" s="2" t="n">
        <v>3</v>
      </c>
      <c r="BY19" s="2" t="n">
        <v>4</v>
      </c>
      <c r="BZ19" s="2" t="n">
        <v>2</v>
      </c>
      <c r="CA19" s="2" t="s">
        <v>189</v>
      </c>
      <c r="CB19" s="2" t="n">
        <v>0</v>
      </c>
      <c r="CC19" s="2" t="n">
        <v>1</v>
      </c>
      <c r="CD19" s="2" t="n">
        <v>0</v>
      </c>
      <c r="CE19" s="2" t="n">
        <v>1</v>
      </c>
      <c r="CF19" s="2" t="s">
        <v>249</v>
      </c>
      <c r="CG19" s="2" t="n">
        <v>3</v>
      </c>
      <c r="CH19" s="2" t="n">
        <v>4</v>
      </c>
      <c r="CI19" s="2" t="n">
        <v>4</v>
      </c>
      <c r="CJ19" s="2" t="n">
        <v>3</v>
      </c>
      <c r="CK19" s="2" t="s">
        <v>118</v>
      </c>
      <c r="CL19" s="2" t="s">
        <v>154</v>
      </c>
      <c r="CM19" s="2" t="s">
        <v>140</v>
      </c>
      <c r="CN19" s="2" t="s">
        <v>121</v>
      </c>
      <c r="CO19" s="2" t="s">
        <v>122</v>
      </c>
      <c r="CP19" s="2" t="s">
        <v>121</v>
      </c>
      <c r="CQ19" s="2"/>
      <c r="CR19" s="2"/>
      <c r="CS19" s="2"/>
      <c r="CT19" s="2"/>
    </row>
    <row r="20" customFormat="false" ht="15" hidden="false" customHeight="false" outlineLevel="0" collapsed="false">
      <c r="A20" s="2" t="n">
        <v>19</v>
      </c>
      <c r="B20" s="2" t="s">
        <v>250</v>
      </c>
      <c r="C20" s="2" t="s">
        <v>251</v>
      </c>
      <c r="D20" s="2" t="s">
        <v>100</v>
      </c>
      <c r="E20" s="2" t="s">
        <v>171</v>
      </c>
      <c r="F20" s="2" t="s">
        <v>179</v>
      </c>
      <c r="G20" s="2" t="s">
        <v>103</v>
      </c>
      <c r="H20" s="2" t="s">
        <v>126</v>
      </c>
      <c r="I20" s="2" t="s">
        <v>160</v>
      </c>
      <c r="J20" s="2" t="s">
        <v>146</v>
      </c>
      <c r="K20" s="2"/>
      <c r="L20" s="2" t="s">
        <v>147</v>
      </c>
      <c r="M20" s="2" t="s">
        <v>161</v>
      </c>
      <c r="N20" s="2" t="s">
        <v>183</v>
      </c>
      <c r="O20" s="2"/>
      <c r="P20" s="2" t="s">
        <v>109</v>
      </c>
      <c r="Q20" s="2" t="s">
        <v>148</v>
      </c>
      <c r="R20" s="2" t="s">
        <v>109</v>
      </c>
      <c r="S20" s="2" t="s">
        <v>185</v>
      </c>
      <c r="T20" s="2" t="n">
        <v>1</v>
      </c>
      <c r="U20" s="2" t="n">
        <v>0</v>
      </c>
      <c r="V20" s="2" t="n">
        <v>0</v>
      </c>
      <c r="W20" s="2" t="n">
        <v>1</v>
      </c>
      <c r="X20" s="2" t="s">
        <v>236</v>
      </c>
      <c r="Y20" s="2"/>
      <c r="Z20" s="2"/>
      <c r="AA20" s="2"/>
      <c r="AB20" s="2" t="n">
        <v>3</v>
      </c>
      <c r="AC20" s="2" t="n">
        <v>5</v>
      </c>
      <c r="AD20" s="2" t="n">
        <v>5</v>
      </c>
      <c r="AE20" s="2" t="n">
        <v>5</v>
      </c>
      <c r="AF20" s="2" t="n">
        <v>3</v>
      </c>
      <c r="AG20" s="2" t="n">
        <v>3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0</v>
      </c>
      <c r="AM20" s="2" t="n">
        <v>1</v>
      </c>
      <c r="AN20" s="2" t="s">
        <v>252</v>
      </c>
      <c r="AO20" s="2" t="n">
        <v>3</v>
      </c>
      <c r="AP20" s="2" t="n">
        <v>5</v>
      </c>
      <c r="AQ20" s="2" t="n">
        <v>5</v>
      </c>
      <c r="AR20" s="2" t="n">
        <v>3</v>
      </c>
      <c r="AS20" s="2" t="n">
        <v>1</v>
      </c>
      <c r="AT20" s="2" t="n">
        <v>5</v>
      </c>
      <c r="AU20" s="2" t="n">
        <v>3</v>
      </c>
      <c r="AV20" s="2" t="n">
        <v>1</v>
      </c>
      <c r="AW20" s="2" t="n">
        <v>0</v>
      </c>
      <c r="AX20" s="2" t="n">
        <v>0</v>
      </c>
      <c r="AY20" s="2" t="n">
        <v>1</v>
      </c>
      <c r="AZ20" s="2" t="n">
        <v>0</v>
      </c>
      <c r="BA20" s="2" t="s">
        <v>242</v>
      </c>
      <c r="BB20" s="2" t="s">
        <v>135</v>
      </c>
      <c r="BC20" s="2" t="n">
        <v>5</v>
      </c>
      <c r="BD20" s="2" t="n">
        <v>5</v>
      </c>
      <c r="BE20" s="2" t="n">
        <v>4</v>
      </c>
      <c r="BF20" s="2" t="n">
        <v>2</v>
      </c>
      <c r="BG20" s="2" t="n">
        <v>4</v>
      </c>
      <c r="BH20" s="2" t="n">
        <v>2</v>
      </c>
      <c r="BI20" s="2" t="n">
        <v>5</v>
      </c>
      <c r="BJ20" s="2" t="n">
        <v>3</v>
      </c>
      <c r="BK20" s="2" t="n">
        <v>1</v>
      </c>
      <c r="BL20" s="2" t="n">
        <v>3</v>
      </c>
      <c r="BM20" s="2" t="n">
        <v>3</v>
      </c>
      <c r="BN20" s="2" t="n">
        <v>2</v>
      </c>
      <c r="BO20" s="2"/>
      <c r="BP20" s="2" t="n">
        <v>5</v>
      </c>
      <c r="BQ20" s="2" t="n">
        <v>4</v>
      </c>
      <c r="BR20" s="2" t="n">
        <v>4</v>
      </c>
      <c r="BS20" s="2" t="n">
        <v>1</v>
      </c>
      <c r="BT20" s="2" t="n">
        <v>3</v>
      </c>
      <c r="BU20" s="2" t="n">
        <v>2</v>
      </c>
      <c r="BV20" s="2" t="n">
        <v>5</v>
      </c>
      <c r="BW20" s="2" t="n">
        <v>4</v>
      </c>
      <c r="BX20" s="2" t="n">
        <v>1</v>
      </c>
      <c r="BY20" s="2" t="n">
        <v>1</v>
      </c>
      <c r="BZ20" s="2" t="n">
        <v>4</v>
      </c>
      <c r="CA20" s="2" t="s">
        <v>189</v>
      </c>
      <c r="CB20" s="2" t="n">
        <v>0</v>
      </c>
      <c r="CC20" s="2" t="n">
        <v>1</v>
      </c>
      <c r="CD20" s="2" t="n">
        <v>1</v>
      </c>
      <c r="CE20" s="2" t="n">
        <v>0</v>
      </c>
      <c r="CF20" s="2" t="s">
        <v>204</v>
      </c>
      <c r="CG20" s="2" t="n">
        <v>2</v>
      </c>
      <c r="CH20" s="2" t="n">
        <v>2</v>
      </c>
      <c r="CI20" s="2" t="n">
        <v>4</v>
      </c>
      <c r="CJ20" s="2" t="n">
        <v>4</v>
      </c>
      <c r="CK20" s="2" t="s">
        <v>176</v>
      </c>
      <c r="CL20" s="2" t="s">
        <v>119</v>
      </c>
      <c r="CM20" s="2" t="s">
        <v>205</v>
      </c>
      <c r="CN20" s="2"/>
      <c r="CO20" s="2"/>
      <c r="CP20" s="2" t="s">
        <v>121</v>
      </c>
      <c r="CQ20" s="2" t="s">
        <v>121</v>
      </c>
      <c r="CR20" s="2"/>
      <c r="CS20" s="2"/>
      <c r="CT20" s="2"/>
    </row>
    <row r="21" customFormat="false" ht="15" hidden="false" customHeight="false" outlineLevel="0" collapsed="false">
      <c r="A21" s="2" t="n">
        <v>20</v>
      </c>
      <c r="B21" s="2" t="s">
        <v>253</v>
      </c>
      <c r="C21" s="2" t="s">
        <v>254</v>
      </c>
      <c r="D21" s="2" t="s">
        <v>192</v>
      </c>
      <c r="E21" s="2" t="s">
        <v>101</v>
      </c>
      <c r="F21" s="2" t="s">
        <v>102</v>
      </c>
      <c r="G21" s="2" t="s">
        <v>103</v>
      </c>
      <c r="H21" s="2" t="s">
        <v>126</v>
      </c>
      <c r="I21" s="2" t="s">
        <v>160</v>
      </c>
      <c r="J21" s="2" t="s">
        <v>128</v>
      </c>
      <c r="K21" s="2"/>
      <c r="L21" s="2" t="s">
        <v>129</v>
      </c>
      <c r="M21" s="2" t="s">
        <v>130</v>
      </c>
      <c r="N21" s="2" t="s">
        <v>209</v>
      </c>
      <c r="O21" s="2"/>
      <c r="P21" s="2" t="s">
        <v>109</v>
      </c>
      <c r="Q21" s="2" t="s">
        <v>131</v>
      </c>
      <c r="R21" s="2" t="s">
        <v>109</v>
      </c>
      <c r="S21" s="2" t="s">
        <v>162</v>
      </c>
      <c r="T21" s="2" t="n">
        <v>1</v>
      </c>
      <c r="U21" s="2" t="n">
        <v>0</v>
      </c>
      <c r="V21" s="2" t="n">
        <v>0</v>
      </c>
      <c r="W21" s="2" t="n">
        <v>0</v>
      </c>
      <c r="X21" s="2" t="s">
        <v>255</v>
      </c>
      <c r="Y21" s="2" t="n">
        <v>1</v>
      </c>
      <c r="Z21" s="2" t="n">
        <v>2</v>
      </c>
      <c r="AA21" s="2" t="n">
        <v>4</v>
      </c>
      <c r="AB21" s="2" t="n">
        <v>4</v>
      </c>
      <c r="AC21" s="2" t="n">
        <v>2</v>
      </c>
      <c r="AD21" s="2" t="n">
        <v>3</v>
      </c>
      <c r="AE21" s="2" t="n">
        <v>4</v>
      </c>
      <c r="AF21" s="2" t="n">
        <v>2</v>
      </c>
      <c r="AG21" s="2" t="n">
        <v>2</v>
      </c>
      <c r="AH21" s="2" t="n">
        <v>1</v>
      </c>
      <c r="AI21" s="2" t="n">
        <v>0</v>
      </c>
      <c r="AJ21" s="2" t="n">
        <v>0</v>
      </c>
      <c r="AK21" s="2" t="n">
        <v>1</v>
      </c>
      <c r="AL21" s="2" t="n">
        <v>0</v>
      </c>
      <c r="AM21" s="2" t="n">
        <v>0</v>
      </c>
      <c r="AN21" s="2" t="s">
        <v>256</v>
      </c>
      <c r="AO21" s="2" t="n">
        <v>3</v>
      </c>
      <c r="AP21" s="2" t="n">
        <v>4</v>
      </c>
      <c r="AQ21" s="2" t="n">
        <v>4</v>
      </c>
      <c r="AR21" s="2" t="n">
        <v>1</v>
      </c>
      <c r="AS21" s="2" t="n">
        <v>3</v>
      </c>
      <c r="AT21" s="2" t="n">
        <v>3</v>
      </c>
      <c r="AU21" s="2" t="n">
        <v>5</v>
      </c>
      <c r="AV21" s="2" t="n">
        <v>1</v>
      </c>
      <c r="AW21" s="2" t="n">
        <v>0</v>
      </c>
      <c r="AX21" s="2" t="n">
        <v>0</v>
      </c>
      <c r="AY21" s="2" t="n">
        <v>0</v>
      </c>
      <c r="AZ21" s="2" t="n">
        <v>0</v>
      </c>
      <c r="BA21" s="2" t="s">
        <v>257</v>
      </c>
      <c r="BB21" s="2" t="s">
        <v>135</v>
      </c>
      <c r="BC21" s="2" t="n">
        <v>3</v>
      </c>
      <c r="BD21" s="2" t="n">
        <v>4</v>
      </c>
      <c r="BE21" s="2" t="n">
        <v>3</v>
      </c>
      <c r="BF21" s="2" t="n">
        <v>3</v>
      </c>
      <c r="BG21" s="2" t="n">
        <v>3</v>
      </c>
      <c r="BH21" s="2" t="n">
        <v>3</v>
      </c>
      <c r="BI21" s="2" t="n">
        <v>1</v>
      </c>
      <c r="BJ21" s="2" t="n">
        <v>5</v>
      </c>
      <c r="BK21" s="2" t="n">
        <v>3</v>
      </c>
      <c r="BL21" s="2" t="n">
        <v>3</v>
      </c>
      <c r="BM21" s="2" t="n">
        <v>1</v>
      </c>
      <c r="BN21" s="2" t="n">
        <v>3</v>
      </c>
      <c r="BO21" s="2" t="n">
        <v>4</v>
      </c>
      <c r="BP21" s="2" t="n">
        <v>5</v>
      </c>
      <c r="BQ21" s="2" t="n">
        <v>4</v>
      </c>
      <c r="BR21" s="2" t="n">
        <v>5</v>
      </c>
      <c r="BS21" s="2" t="n">
        <v>5</v>
      </c>
      <c r="BT21" s="2" t="n">
        <v>5</v>
      </c>
      <c r="BU21" s="2" t="n">
        <v>2</v>
      </c>
      <c r="BV21" s="2" t="n">
        <v>5</v>
      </c>
      <c r="BW21" s="2" t="n">
        <v>5</v>
      </c>
      <c r="BX21" s="2" t="n">
        <v>2</v>
      </c>
      <c r="BY21" s="2" t="n">
        <v>4</v>
      </c>
      <c r="BZ21" s="2" t="n">
        <v>3</v>
      </c>
      <c r="CA21" s="2" t="s">
        <v>136</v>
      </c>
      <c r="CB21" s="2" t="n">
        <v>0</v>
      </c>
      <c r="CC21" s="2" t="n">
        <v>1</v>
      </c>
      <c r="CD21" s="2" t="n">
        <v>0</v>
      </c>
      <c r="CE21" s="2" t="n">
        <v>0</v>
      </c>
      <c r="CF21" s="2" t="s">
        <v>117</v>
      </c>
      <c r="CG21" s="2" t="n">
        <v>1</v>
      </c>
      <c r="CH21" s="2" t="n">
        <v>5</v>
      </c>
      <c r="CI21" s="2" t="n">
        <v>5</v>
      </c>
      <c r="CJ21" s="2" t="n">
        <v>2</v>
      </c>
      <c r="CK21" s="2" t="s">
        <v>118</v>
      </c>
      <c r="CL21" s="2" t="s">
        <v>198</v>
      </c>
      <c r="CM21" s="2" t="s">
        <v>140</v>
      </c>
      <c r="CN21" s="2"/>
      <c r="CO21" s="2" t="s">
        <v>121</v>
      </c>
      <c r="CP21" s="2" t="s">
        <v>121</v>
      </c>
      <c r="CQ21" s="2"/>
      <c r="CR21" s="2" t="s">
        <v>141</v>
      </c>
      <c r="CS21" s="2"/>
      <c r="CT21" s="2"/>
    </row>
    <row r="22" customFormat="false" ht="15" hidden="false" customHeight="false" outlineLevel="0" collapsed="false">
      <c r="A22" s="2" t="n">
        <v>21</v>
      </c>
      <c r="B22" s="2" t="s">
        <v>258</v>
      </c>
      <c r="C22" s="2" t="s">
        <v>259</v>
      </c>
      <c r="D22" s="2" t="s">
        <v>227</v>
      </c>
      <c r="E22" s="2" t="s">
        <v>171</v>
      </c>
      <c r="F22" s="2" t="s">
        <v>179</v>
      </c>
      <c r="G22" s="2" t="s">
        <v>103</v>
      </c>
      <c r="H22" s="2" t="s">
        <v>126</v>
      </c>
      <c r="I22" s="2" t="s">
        <v>105</v>
      </c>
      <c r="J22" s="2" t="s">
        <v>128</v>
      </c>
      <c r="K22" s="2"/>
      <c r="L22" s="2" t="s">
        <v>129</v>
      </c>
      <c r="M22" s="2" t="s">
        <v>130</v>
      </c>
      <c r="N22" s="2" t="s">
        <v>209</v>
      </c>
      <c r="O22" s="2"/>
      <c r="P22" s="2" t="s">
        <v>149</v>
      </c>
      <c r="Q22" s="2" t="s">
        <v>131</v>
      </c>
      <c r="R22" s="2" t="s">
        <v>109</v>
      </c>
      <c r="S22" s="2" t="s">
        <v>111</v>
      </c>
      <c r="T22" s="2" t="n">
        <v>0</v>
      </c>
      <c r="U22" s="2" t="n">
        <v>1</v>
      </c>
      <c r="V22" s="2" t="n">
        <v>1</v>
      </c>
      <c r="W22" s="2" t="n">
        <v>0</v>
      </c>
      <c r="X22" s="2" t="s">
        <v>186</v>
      </c>
      <c r="Y22" s="2" t="n">
        <v>5</v>
      </c>
      <c r="Z22" s="2" t="n">
        <v>3</v>
      </c>
      <c r="AA22" s="2" t="n">
        <v>4</v>
      </c>
      <c r="AB22" s="2" t="n">
        <v>5</v>
      </c>
      <c r="AC22" s="2" t="n">
        <v>1</v>
      </c>
      <c r="AD22" s="2" t="n">
        <v>4</v>
      </c>
      <c r="AE22" s="2" t="n">
        <v>4</v>
      </c>
      <c r="AF22" s="2" t="n">
        <v>2</v>
      </c>
      <c r="AG22" s="2" t="n">
        <v>4</v>
      </c>
      <c r="AH22" s="2" t="n">
        <v>0</v>
      </c>
      <c r="AI22" s="2" t="n">
        <v>1</v>
      </c>
      <c r="AJ22" s="2" t="n">
        <v>0</v>
      </c>
      <c r="AK22" s="2" t="n">
        <v>1</v>
      </c>
      <c r="AL22" s="2" t="n">
        <v>0</v>
      </c>
      <c r="AM22" s="2" t="n">
        <v>0</v>
      </c>
      <c r="AN22" s="2" t="s">
        <v>260</v>
      </c>
      <c r="AO22" s="2" t="n">
        <v>3</v>
      </c>
      <c r="AP22" s="2" t="n">
        <v>2</v>
      </c>
      <c r="AQ22" s="2" t="n">
        <v>4</v>
      </c>
      <c r="AR22" s="2" t="n">
        <v>4</v>
      </c>
      <c r="AS22" s="2" t="n">
        <v>4</v>
      </c>
      <c r="AT22" s="2" t="n">
        <v>3</v>
      </c>
      <c r="AU22" s="2" t="n">
        <v>3</v>
      </c>
      <c r="AV22" s="2" t="n">
        <v>1</v>
      </c>
      <c r="AW22" s="2" t="n">
        <v>0</v>
      </c>
      <c r="AX22" s="2" t="n">
        <v>0</v>
      </c>
      <c r="AY22" s="2" t="n">
        <v>0</v>
      </c>
      <c r="AZ22" s="2" t="n">
        <v>1</v>
      </c>
      <c r="BA22" s="2" t="s">
        <v>261</v>
      </c>
      <c r="BB22" s="2" t="s">
        <v>217</v>
      </c>
      <c r="BC22" s="2" t="n">
        <v>3</v>
      </c>
      <c r="BD22" s="2" t="n">
        <v>4</v>
      </c>
      <c r="BE22" s="2" t="n">
        <v>4</v>
      </c>
      <c r="BF22" s="2" t="n">
        <v>2</v>
      </c>
      <c r="BG22" s="2" t="n">
        <v>5</v>
      </c>
      <c r="BH22" s="2" t="n">
        <v>4</v>
      </c>
      <c r="BI22" s="2" t="n">
        <v>5</v>
      </c>
      <c r="BJ22" s="2" t="n">
        <v>4</v>
      </c>
      <c r="BK22" s="2" t="n">
        <v>2</v>
      </c>
      <c r="BL22" s="2" t="n">
        <v>1</v>
      </c>
      <c r="BM22" s="2" t="n">
        <v>3</v>
      </c>
      <c r="BN22" s="2" t="n">
        <v>5</v>
      </c>
      <c r="BO22" s="2" t="n">
        <v>4</v>
      </c>
      <c r="BP22" s="2" t="n">
        <v>3</v>
      </c>
      <c r="BQ22" s="2" t="n">
        <v>3</v>
      </c>
      <c r="BR22" s="2" t="n">
        <v>2</v>
      </c>
      <c r="BS22" s="2" t="n">
        <v>3</v>
      </c>
      <c r="BT22" s="2" t="n">
        <v>1</v>
      </c>
      <c r="BU22" s="2" t="n">
        <v>3</v>
      </c>
      <c r="BV22" s="2" t="n">
        <v>4</v>
      </c>
      <c r="BW22" s="2" t="n">
        <v>3</v>
      </c>
      <c r="BX22" s="2" t="n">
        <v>4</v>
      </c>
      <c r="BY22" s="2" t="n">
        <v>4</v>
      </c>
      <c r="BZ22" s="2" t="n">
        <v>2</v>
      </c>
      <c r="CA22" s="2" t="s">
        <v>189</v>
      </c>
      <c r="CB22" s="2" t="n">
        <v>1</v>
      </c>
      <c r="CC22" s="2" t="n">
        <v>1</v>
      </c>
      <c r="CD22" s="2" t="n">
        <v>0</v>
      </c>
      <c r="CE22" s="2" t="n">
        <v>0</v>
      </c>
      <c r="CF22" s="2" t="s">
        <v>197</v>
      </c>
      <c r="CG22" s="2" t="n">
        <v>5</v>
      </c>
      <c r="CH22" s="2" t="n">
        <v>3</v>
      </c>
      <c r="CI22" s="2" t="n">
        <v>2</v>
      </c>
      <c r="CJ22" s="2" t="n">
        <v>3</v>
      </c>
      <c r="CK22" s="2" t="s">
        <v>176</v>
      </c>
      <c r="CL22" s="2" t="s">
        <v>154</v>
      </c>
      <c r="CM22" s="2" t="s">
        <v>177</v>
      </c>
      <c r="CN22" s="2"/>
      <c r="CO22" s="2" t="s">
        <v>122</v>
      </c>
      <c r="CP22" s="2" t="s">
        <v>122</v>
      </c>
      <c r="CQ22" s="2"/>
      <c r="CR22" s="2" t="s">
        <v>141</v>
      </c>
      <c r="CS22" s="2"/>
      <c r="CT22" s="2"/>
    </row>
    <row r="23" customFormat="false" ht="15" hidden="false" customHeight="false" outlineLevel="0" collapsed="false">
      <c r="A23" s="2" t="n">
        <v>22</v>
      </c>
      <c r="B23" s="2" t="s">
        <v>262</v>
      </c>
      <c r="C23" s="2" t="s">
        <v>263</v>
      </c>
      <c r="D23" s="2" t="s">
        <v>100</v>
      </c>
      <c r="E23" s="2" t="s">
        <v>125</v>
      </c>
      <c r="F23" s="2" t="s">
        <v>179</v>
      </c>
      <c r="G23" s="2" t="s">
        <v>180</v>
      </c>
      <c r="H23" s="2" t="s">
        <v>126</v>
      </c>
      <c r="I23" s="2" t="s">
        <v>145</v>
      </c>
      <c r="J23" s="2" t="s">
        <v>128</v>
      </c>
      <c r="K23" s="2"/>
      <c r="L23" s="2" t="s">
        <v>129</v>
      </c>
      <c r="M23" s="2" t="s">
        <v>107</v>
      </c>
      <c r="N23" s="2" t="s">
        <v>183</v>
      </c>
      <c r="O23" s="2"/>
      <c r="P23" s="2" t="s">
        <v>109</v>
      </c>
      <c r="Q23" s="2" t="s">
        <v>110</v>
      </c>
      <c r="R23" s="2" t="s">
        <v>109</v>
      </c>
      <c r="S23" s="2" t="s">
        <v>185</v>
      </c>
      <c r="T23" s="2" t="n">
        <v>0</v>
      </c>
      <c r="U23" s="2" t="n">
        <v>0</v>
      </c>
      <c r="V23" s="2" t="n">
        <v>1</v>
      </c>
      <c r="W23" s="2" t="n">
        <v>0</v>
      </c>
      <c r="X23" s="2" t="s">
        <v>201</v>
      </c>
      <c r="Y23" s="2" t="n">
        <v>4</v>
      </c>
      <c r="Z23" s="2" t="n">
        <v>4</v>
      </c>
      <c r="AA23" s="2" t="n">
        <v>3</v>
      </c>
      <c r="AB23" s="2" t="n">
        <v>2</v>
      </c>
      <c r="AC23" s="2" t="n">
        <v>4</v>
      </c>
      <c r="AD23" s="2" t="n">
        <v>2</v>
      </c>
      <c r="AE23" s="2" t="n">
        <v>5</v>
      </c>
      <c r="AF23" s="2" t="n">
        <v>2</v>
      </c>
      <c r="AG23" s="2" t="n">
        <v>2</v>
      </c>
      <c r="AH23" s="2" t="n">
        <v>0</v>
      </c>
      <c r="AI23" s="2" t="n">
        <v>0</v>
      </c>
      <c r="AJ23" s="2" t="n">
        <v>0</v>
      </c>
      <c r="AK23" s="2" t="n">
        <v>1</v>
      </c>
      <c r="AL23" s="2" t="n">
        <v>0</v>
      </c>
      <c r="AM23" s="2" t="n">
        <v>0</v>
      </c>
      <c r="AN23" s="2" t="s">
        <v>202</v>
      </c>
      <c r="AO23" s="2" t="n">
        <v>2</v>
      </c>
      <c r="AP23" s="2" t="n">
        <v>3</v>
      </c>
      <c r="AQ23" s="2" t="n">
        <v>3</v>
      </c>
      <c r="AR23" s="2" t="n">
        <v>4</v>
      </c>
      <c r="AS23" s="2" t="n">
        <v>3</v>
      </c>
      <c r="AT23" s="2" t="n">
        <v>4</v>
      </c>
      <c r="AU23" s="2" t="n">
        <v>2</v>
      </c>
      <c r="AV23" s="2" t="n">
        <v>0</v>
      </c>
      <c r="AW23" s="2" t="n">
        <v>0</v>
      </c>
      <c r="AX23" s="2" t="n">
        <v>1</v>
      </c>
      <c r="AY23" s="2" t="n">
        <v>0</v>
      </c>
      <c r="AZ23" s="2" t="n">
        <v>0</v>
      </c>
      <c r="BA23" s="2" t="s">
        <v>212</v>
      </c>
      <c r="BB23" s="2" t="s">
        <v>165</v>
      </c>
      <c r="BC23" s="2" t="n">
        <v>5</v>
      </c>
      <c r="BD23" s="2" t="n">
        <v>4</v>
      </c>
      <c r="BE23" s="2" t="n">
        <v>3</v>
      </c>
      <c r="BF23" s="2" t="n">
        <v>1</v>
      </c>
      <c r="BG23" s="2" t="n">
        <v>5</v>
      </c>
      <c r="BH23" s="2" t="n">
        <v>3</v>
      </c>
      <c r="BI23" s="2" t="n">
        <v>2</v>
      </c>
      <c r="BJ23" s="2" t="n">
        <v>3</v>
      </c>
      <c r="BK23" s="2" t="n">
        <v>2</v>
      </c>
      <c r="BL23" s="2" t="n">
        <v>3</v>
      </c>
      <c r="BM23" s="2" t="n">
        <v>4</v>
      </c>
      <c r="BN23" s="2" t="n">
        <v>5</v>
      </c>
      <c r="BO23" s="2" t="n">
        <v>2</v>
      </c>
      <c r="BP23" s="2" t="n">
        <v>1</v>
      </c>
      <c r="BQ23" s="2" t="n">
        <v>2</v>
      </c>
      <c r="BR23" s="2" t="n">
        <v>4</v>
      </c>
      <c r="BS23" s="2" t="n">
        <v>3</v>
      </c>
      <c r="BT23" s="2" t="n">
        <v>4</v>
      </c>
      <c r="BU23" s="2" t="n">
        <v>5</v>
      </c>
      <c r="BV23" s="2" t="n">
        <v>4</v>
      </c>
      <c r="BW23" s="2" t="n">
        <v>3</v>
      </c>
      <c r="BX23" s="2" t="n">
        <v>2</v>
      </c>
      <c r="BY23" s="2" t="n">
        <v>5</v>
      </c>
      <c r="BZ23" s="2" t="n">
        <v>5</v>
      </c>
      <c r="CA23" s="2" t="s">
        <v>189</v>
      </c>
      <c r="CB23" s="2" t="n">
        <v>1</v>
      </c>
      <c r="CC23" s="2" t="n">
        <v>1</v>
      </c>
      <c r="CD23" s="2" t="n">
        <v>0</v>
      </c>
      <c r="CE23" s="2" t="n">
        <v>0</v>
      </c>
      <c r="CF23" s="2" t="s">
        <v>197</v>
      </c>
      <c r="CG23" s="2" t="n">
        <v>4</v>
      </c>
      <c r="CH23" s="2" t="n">
        <v>3</v>
      </c>
      <c r="CI23" s="2" t="n">
        <v>5</v>
      </c>
      <c r="CJ23" s="2" t="n">
        <v>4</v>
      </c>
      <c r="CK23" s="2" t="s">
        <v>176</v>
      </c>
      <c r="CL23" s="2" t="s">
        <v>139</v>
      </c>
      <c r="CM23" s="2" t="s">
        <v>168</v>
      </c>
      <c r="CN23" s="2"/>
      <c r="CO23" s="2"/>
      <c r="CP23" s="2" t="s">
        <v>122</v>
      </c>
      <c r="CQ23" s="2"/>
      <c r="CR23" s="2"/>
      <c r="CS23" s="2"/>
      <c r="CT23" s="2"/>
    </row>
    <row r="24" customFormat="false" ht="15" hidden="false" customHeight="false" outlineLevel="0" collapsed="false">
      <c r="A24" s="2" t="n">
        <v>23</v>
      </c>
      <c r="B24" s="2" t="s">
        <v>264</v>
      </c>
      <c r="C24" s="2" t="s">
        <v>265</v>
      </c>
      <c r="D24" s="2" t="s">
        <v>157</v>
      </c>
      <c r="E24" s="2" t="s">
        <v>125</v>
      </c>
      <c r="F24" s="2" t="s">
        <v>179</v>
      </c>
      <c r="G24" s="2" t="s">
        <v>103</v>
      </c>
      <c r="H24" s="2" t="s">
        <v>126</v>
      </c>
      <c r="I24" s="2" t="s">
        <v>127</v>
      </c>
      <c r="J24" s="2" t="s">
        <v>128</v>
      </c>
      <c r="K24" s="2"/>
      <c r="L24" s="2" t="s">
        <v>182</v>
      </c>
      <c r="M24" s="2" t="s">
        <v>161</v>
      </c>
      <c r="N24" s="2" t="s">
        <v>167</v>
      </c>
      <c r="O24" s="2"/>
      <c r="P24" s="2" t="s">
        <v>109</v>
      </c>
      <c r="Q24" s="2" t="s">
        <v>148</v>
      </c>
      <c r="R24" s="2" t="s">
        <v>109</v>
      </c>
      <c r="S24" s="2" t="s">
        <v>162</v>
      </c>
      <c r="T24" s="2" t="n">
        <v>1</v>
      </c>
      <c r="U24" s="2" t="n">
        <v>0</v>
      </c>
      <c r="V24" s="2" t="n">
        <v>0</v>
      </c>
      <c r="W24" s="2" t="n">
        <v>0</v>
      </c>
      <c r="X24" s="2" t="s">
        <v>255</v>
      </c>
      <c r="Y24" s="2" t="n">
        <v>5</v>
      </c>
      <c r="Z24" s="2" t="n">
        <v>1</v>
      </c>
      <c r="AA24" s="2" t="n">
        <v>3</v>
      </c>
      <c r="AB24" s="2" t="n">
        <v>1</v>
      </c>
      <c r="AC24" s="2" t="n">
        <v>5</v>
      </c>
      <c r="AD24" s="2" t="n">
        <v>4</v>
      </c>
      <c r="AE24" s="2" t="n">
        <v>4</v>
      </c>
      <c r="AF24" s="2" t="n">
        <v>2</v>
      </c>
      <c r="AG24" s="2" t="n">
        <v>4</v>
      </c>
      <c r="AH24" s="2" t="n">
        <v>1</v>
      </c>
      <c r="AI24" s="2" t="n">
        <v>0</v>
      </c>
      <c r="AJ24" s="2" t="n">
        <v>0</v>
      </c>
      <c r="AK24" s="2" t="n">
        <v>1</v>
      </c>
      <c r="AL24" s="2" t="n">
        <v>0</v>
      </c>
      <c r="AM24" s="2" t="n">
        <v>0</v>
      </c>
      <c r="AN24" s="2" t="s">
        <v>187</v>
      </c>
      <c r="AO24" s="2" t="n">
        <v>4</v>
      </c>
      <c r="AP24" s="2" t="n">
        <v>5</v>
      </c>
      <c r="AQ24" s="2" t="n">
        <v>4</v>
      </c>
      <c r="AR24" s="2" t="n">
        <v>4</v>
      </c>
      <c r="AS24" s="2" t="n">
        <v>3</v>
      </c>
      <c r="AT24" s="2" t="n">
        <v>5</v>
      </c>
      <c r="AU24" s="2" t="n">
        <v>1</v>
      </c>
      <c r="AV24" s="2" t="n">
        <v>0</v>
      </c>
      <c r="AW24" s="2" t="n">
        <v>1</v>
      </c>
      <c r="AX24" s="2" t="n">
        <v>0</v>
      </c>
      <c r="AY24" s="2" t="n">
        <v>0</v>
      </c>
      <c r="AZ24" s="2" t="n">
        <v>0</v>
      </c>
      <c r="BA24" s="2" t="s">
        <v>175</v>
      </c>
      <c r="BB24" s="2" t="s">
        <v>217</v>
      </c>
      <c r="BC24" s="2" t="n">
        <v>4</v>
      </c>
      <c r="BD24" s="2" t="n">
        <v>3</v>
      </c>
      <c r="BE24" s="2" t="n">
        <v>3</v>
      </c>
      <c r="BF24" s="2" t="n">
        <v>4</v>
      </c>
      <c r="BG24" s="2" t="n">
        <v>5</v>
      </c>
      <c r="BH24" s="2" t="n">
        <v>3</v>
      </c>
      <c r="BI24" s="2" t="n">
        <v>4</v>
      </c>
      <c r="BJ24" s="2" t="n">
        <v>5</v>
      </c>
      <c r="BK24" s="2" t="n">
        <v>4</v>
      </c>
      <c r="BL24" s="2" t="n">
        <v>3</v>
      </c>
      <c r="BM24" s="2" t="n">
        <v>5</v>
      </c>
      <c r="BN24" s="2" t="n">
        <v>3</v>
      </c>
      <c r="BO24" s="2" t="n">
        <v>2</v>
      </c>
      <c r="BP24" s="2" t="n">
        <v>5</v>
      </c>
      <c r="BQ24" s="2" t="n">
        <v>1</v>
      </c>
      <c r="BR24" s="2" t="n">
        <v>3</v>
      </c>
      <c r="BS24" s="2" t="n">
        <v>2</v>
      </c>
      <c r="BT24" s="2" t="n">
        <v>5</v>
      </c>
      <c r="BU24" s="2" t="n">
        <v>5</v>
      </c>
      <c r="BV24" s="2" t="n">
        <v>4</v>
      </c>
      <c r="BW24" s="2" t="n">
        <v>3</v>
      </c>
      <c r="BX24" s="2" t="n">
        <v>1</v>
      </c>
      <c r="BY24" s="2"/>
      <c r="BZ24" s="2" t="n">
        <v>1</v>
      </c>
      <c r="CA24" s="2" t="s">
        <v>136</v>
      </c>
      <c r="CB24" s="2" t="n">
        <v>0</v>
      </c>
      <c r="CC24" s="2" t="n">
        <v>0</v>
      </c>
      <c r="CD24" s="2" t="n">
        <v>1</v>
      </c>
      <c r="CE24" s="2" t="n">
        <v>0</v>
      </c>
      <c r="CF24" s="2" t="s">
        <v>137</v>
      </c>
      <c r="CG24" s="2" t="n">
        <v>5</v>
      </c>
      <c r="CH24" s="2" t="n">
        <v>4</v>
      </c>
      <c r="CI24" s="2" t="n">
        <v>3</v>
      </c>
      <c r="CJ24" s="2" t="n">
        <v>3</v>
      </c>
      <c r="CK24" s="2" t="s">
        <v>138</v>
      </c>
      <c r="CL24" s="2" t="s">
        <v>139</v>
      </c>
      <c r="CM24" s="2" t="s">
        <v>120</v>
      </c>
      <c r="CN24" s="2" t="s">
        <v>122</v>
      </c>
      <c r="CO24" s="2" t="s">
        <v>122</v>
      </c>
      <c r="CP24" s="2" t="s">
        <v>121</v>
      </c>
      <c r="CQ24" s="2"/>
      <c r="CR24" s="2"/>
      <c r="CS24" s="2"/>
      <c r="CT24" s="2"/>
    </row>
    <row r="25" customFormat="false" ht="15" hidden="false" customHeight="false" outlineLevel="0" collapsed="false">
      <c r="A25" s="2" t="n">
        <v>24</v>
      </c>
      <c r="B25" s="2" t="s">
        <v>266</v>
      </c>
      <c r="C25" s="2" t="s">
        <v>267</v>
      </c>
      <c r="D25" s="2" t="s">
        <v>208</v>
      </c>
      <c r="E25" s="2" t="s">
        <v>144</v>
      </c>
      <c r="F25" s="2" t="s">
        <v>179</v>
      </c>
      <c r="G25" s="2" t="s">
        <v>180</v>
      </c>
      <c r="H25" s="2" t="s">
        <v>181</v>
      </c>
      <c r="I25" s="2" t="s">
        <v>127</v>
      </c>
      <c r="J25" s="2" t="s">
        <v>128</v>
      </c>
      <c r="K25" s="2"/>
      <c r="L25" s="2" t="s">
        <v>182</v>
      </c>
      <c r="M25" s="2" t="s">
        <v>107</v>
      </c>
      <c r="N25" s="2" t="s">
        <v>108</v>
      </c>
      <c r="O25" s="2"/>
      <c r="P25" s="2" t="s">
        <v>149</v>
      </c>
      <c r="Q25" s="2" t="s">
        <v>110</v>
      </c>
      <c r="R25" s="2" t="s">
        <v>149</v>
      </c>
      <c r="S25" s="2" t="s">
        <v>185</v>
      </c>
      <c r="T25" s="2" t="n">
        <v>0</v>
      </c>
      <c r="U25" s="2" t="n">
        <v>0</v>
      </c>
      <c r="V25" s="2" t="n">
        <v>0</v>
      </c>
      <c r="W25" s="2" t="n">
        <v>1</v>
      </c>
      <c r="X25" s="2" t="s">
        <v>268</v>
      </c>
      <c r="Y25" s="2" t="n">
        <v>4</v>
      </c>
      <c r="Z25" s="2" t="n">
        <v>3</v>
      </c>
      <c r="AA25" s="2" t="n">
        <v>3</v>
      </c>
      <c r="AB25" s="2" t="n">
        <v>5</v>
      </c>
      <c r="AC25" s="2" t="n">
        <v>4</v>
      </c>
      <c r="AD25" s="2" t="n">
        <v>5</v>
      </c>
      <c r="AE25" s="2" t="n">
        <v>5</v>
      </c>
      <c r="AF25" s="2" t="n">
        <v>2</v>
      </c>
      <c r="AG25" s="2" t="n">
        <v>3</v>
      </c>
      <c r="AH25" s="2" t="n">
        <v>0</v>
      </c>
      <c r="AI25" s="2" t="n">
        <v>0</v>
      </c>
      <c r="AJ25" s="2" t="n">
        <v>0</v>
      </c>
      <c r="AK25" s="2" t="n">
        <v>1</v>
      </c>
      <c r="AL25" s="2" t="n">
        <v>0</v>
      </c>
      <c r="AM25" s="2" t="n">
        <v>0</v>
      </c>
      <c r="AN25" s="2" t="s">
        <v>202</v>
      </c>
      <c r="AO25" s="2" t="n">
        <v>4</v>
      </c>
      <c r="AP25" s="2" t="n">
        <v>2</v>
      </c>
      <c r="AQ25" s="2" t="n">
        <v>3</v>
      </c>
      <c r="AR25" s="2" t="n">
        <v>5</v>
      </c>
      <c r="AS25" s="2" t="n">
        <v>3</v>
      </c>
      <c r="AT25" s="2" t="n">
        <v>2</v>
      </c>
      <c r="AU25" s="2" t="n">
        <v>3</v>
      </c>
      <c r="AV25" s="2" t="n">
        <v>0</v>
      </c>
      <c r="AW25" s="2" t="n">
        <v>1</v>
      </c>
      <c r="AX25" s="2" t="n">
        <v>1</v>
      </c>
      <c r="AY25" s="2" t="n">
        <v>0</v>
      </c>
      <c r="AZ25" s="2" t="n">
        <v>0</v>
      </c>
      <c r="BA25" s="2" t="s">
        <v>269</v>
      </c>
      <c r="BB25" s="2" t="s">
        <v>217</v>
      </c>
      <c r="BC25" s="2" t="n">
        <v>5</v>
      </c>
      <c r="BD25" s="2" t="n">
        <v>1</v>
      </c>
      <c r="BE25" s="2" t="n">
        <v>2</v>
      </c>
      <c r="BF25" s="2" t="n">
        <v>5</v>
      </c>
      <c r="BG25" s="2" t="n">
        <v>1</v>
      </c>
      <c r="BH25" s="2" t="n">
        <v>4</v>
      </c>
      <c r="BI25" s="2" t="n">
        <v>4</v>
      </c>
      <c r="BJ25" s="2" t="n">
        <v>3</v>
      </c>
      <c r="BK25" s="2" t="n">
        <v>3</v>
      </c>
      <c r="BL25" s="2" t="n">
        <v>4</v>
      </c>
      <c r="BM25" s="2" t="n">
        <v>4</v>
      </c>
      <c r="BN25" s="2" t="n">
        <v>2</v>
      </c>
      <c r="BO25" s="2" t="n">
        <v>3</v>
      </c>
      <c r="BP25" s="2" t="n">
        <v>4</v>
      </c>
      <c r="BQ25" s="2" t="n">
        <v>4</v>
      </c>
      <c r="BR25" s="2" t="n">
        <v>1</v>
      </c>
      <c r="BS25" s="2" t="n">
        <v>2</v>
      </c>
      <c r="BT25" s="2" t="n">
        <v>3</v>
      </c>
      <c r="BU25" s="2" t="n">
        <v>4</v>
      </c>
      <c r="BV25" s="2" t="n">
        <v>5</v>
      </c>
      <c r="BW25" s="2" t="n">
        <v>2</v>
      </c>
      <c r="BX25" s="2" t="n">
        <v>2</v>
      </c>
      <c r="BY25" s="2" t="n">
        <v>3</v>
      </c>
      <c r="BZ25" s="2"/>
      <c r="CA25" s="2" t="s">
        <v>213</v>
      </c>
      <c r="CB25" s="2" t="n">
        <v>0</v>
      </c>
      <c r="CC25" s="2" t="n">
        <v>0</v>
      </c>
      <c r="CD25" s="2" t="n">
        <v>1</v>
      </c>
      <c r="CE25" s="2" t="n">
        <v>0</v>
      </c>
      <c r="CF25" s="2" t="s">
        <v>137</v>
      </c>
      <c r="CG25" s="2"/>
      <c r="CH25" s="2" t="n">
        <v>2</v>
      </c>
      <c r="CI25" s="2" t="n">
        <v>1</v>
      </c>
      <c r="CJ25" s="2" t="n">
        <v>4</v>
      </c>
      <c r="CK25" s="2" t="s">
        <v>138</v>
      </c>
      <c r="CL25" s="2" t="s">
        <v>198</v>
      </c>
      <c r="CM25" s="2" t="s">
        <v>177</v>
      </c>
      <c r="CN25" s="2" t="s">
        <v>121</v>
      </c>
      <c r="CO25" s="2"/>
      <c r="CP25" s="2" t="s">
        <v>122</v>
      </c>
      <c r="CQ25" s="2" t="s">
        <v>121</v>
      </c>
      <c r="CR25" s="2" t="s">
        <v>141</v>
      </c>
      <c r="CS25" s="2"/>
      <c r="CT25" s="2"/>
    </row>
    <row r="26" customFormat="false" ht="15" hidden="false" customHeight="false" outlineLevel="0" collapsed="false">
      <c r="A26" s="2" t="n">
        <v>25</v>
      </c>
      <c r="B26" s="2" t="s">
        <v>270</v>
      </c>
      <c r="C26" s="2" t="s">
        <v>271</v>
      </c>
      <c r="D26" s="2" t="s">
        <v>100</v>
      </c>
      <c r="E26" s="2" t="s">
        <v>158</v>
      </c>
      <c r="F26" s="2" t="s">
        <v>102</v>
      </c>
      <c r="G26" s="2" t="s">
        <v>103</v>
      </c>
      <c r="H26" s="2" t="s">
        <v>159</v>
      </c>
      <c r="I26" s="2" t="s">
        <v>145</v>
      </c>
      <c r="J26" s="2" t="s">
        <v>128</v>
      </c>
      <c r="K26" s="2"/>
      <c r="L26" s="2" t="s">
        <v>172</v>
      </c>
      <c r="M26" s="2" t="s">
        <v>161</v>
      </c>
      <c r="N26" s="2" t="s">
        <v>167</v>
      </c>
      <c r="O26" s="2"/>
      <c r="P26" s="2" t="s">
        <v>109</v>
      </c>
      <c r="Q26" s="2" t="s">
        <v>148</v>
      </c>
      <c r="R26" s="2" t="s">
        <v>149</v>
      </c>
      <c r="S26" s="2" t="s">
        <v>185</v>
      </c>
      <c r="T26" s="2" t="n">
        <v>0</v>
      </c>
      <c r="U26" s="2" t="n">
        <v>1</v>
      </c>
      <c r="V26" s="2" t="n">
        <v>0</v>
      </c>
      <c r="W26" s="2" t="n">
        <v>0</v>
      </c>
      <c r="X26" s="2" t="s">
        <v>194</v>
      </c>
      <c r="Y26" s="2" t="n">
        <v>2</v>
      </c>
      <c r="Z26" s="2" t="n">
        <v>4</v>
      </c>
      <c r="AA26" s="2" t="n">
        <v>3</v>
      </c>
      <c r="AB26" s="2" t="n">
        <v>2</v>
      </c>
      <c r="AC26" s="2" t="n">
        <v>4</v>
      </c>
      <c r="AD26" s="2" t="n">
        <v>3</v>
      </c>
      <c r="AE26" s="2" t="n">
        <v>3</v>
      </c>
      <c r="AF26" s="2" t="n">
        <v>5</v>
      </c>
      <c r="AG26" s="2" t="n">
        <v>4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1</v>
      </c>
      <c r="AN26" s="2" t="s">
        <v>167</v>
      </c>
      <c r="AO26" s="2" t="n">
        <v>3</v>
      </c>
      <c r="AP26" s="2" t="n">
        <v>3</v>
      </c>
      <c r="AQ26" s="2" t="n">
        <v>1</v>
      </c>
      <c r="AR26" s="2" t="n">
        <v>1</v>
      </c>
      <c r="AS26" s="2" t="n">
        <v>1</v>
      </c>
      <c r="AT26" s="2" t="n">
        <v>5</v>
      </c>
      <c r="AU26" s="2" t="n">
        <v>4</v>
      </c>
      <c r="AV26" s="2" t="n">
        <v>0</v>
      </c>
      <c r="AW26" s="2" t="n">
        <v>0</v>
      </c>
      <c r="AX26" s="2" t="n">
        <v>1</v>
      </c>
      <c r="AY26" s="2" t="n">
        <v>0</v>
      </c>
      <c r="AZ26" s="2" t="n">
        <v>0</v>
      </c>
      <c r="BA26" s="2" t="s">
        <v>212</v>
      </c>
      <c r="BB26" s="2" t="s">
        <v>115</v>
      </c>
      <c r="BC26" s="2" t="n">
        <v>2</v>
      </c>
      <c r="BD26" s="2" t="n">
        <v>5</v>
      </c>
      <c r="BE26" s="2" t="n">
        <v>3</v>
      </c>
      <c r="BF26" s="2" t="n">
        <v>5</v>
      </c>
      <c r="BG26" s="2" t="n">
        <v>1</v>
      </c>
      <c r="BH26" s="2" t="n">
        <v>2</v>
      </c>
      <c r="BI26" s="2" t="n">
        <v>1</v>
      </c>
      <c r="BJ26" s="2" t="n">
        <v>4</v>
      </c>
      <c r="BK26" s="2" t="n">
        <v>1</v>
      </c>
      <c r="BL26" s="2" t="n">
        <v>5</v>
      </c>
      <c r="BM26" s="2" t="n">
        <v>3</v>
      </c>
      <c r="BN26" s="2" t="n">
        <v>5</v>
      </c>
      <c r="BO26" s="2" t="n">
        <v>5</v>
      </c>
      <c r="BP26" s="2" t="n">
        <v>5</v>
      </c>
      <c r="BQ26" s="2" t="n">
        <v>1</v>
      </c>
      <c r="BR26" s="2" t="n">
        <v>5</v>
      </c>
      <c r="BS26" s="2" t="n">
        <v>5</v>
      </c>
      <c r="BT26" s="2" t="n">
        <v>4</v>
      </c>
      <c r="BU26" s="2" t="n">
        <v>2</v>
      </c>
      <c r="BV26" s="2" t="n">
        <v>2</v>
      </c>
      <c r="BW26" s="2" t="n">
        <v>2</v>
      </c>
      <c r="BX26" s="2" t="n">
        <v>3</v>
      </c>
      <c r="BY26" s="2" t="n">
        <v>5</v>
      </c>
      <c r="BZ26" s="2" t="n">
        <v>4</v>
      </c>
      <c r="CA26" s="2" t="s">
        <v>136</v>
      </c>
      <c r="CB26" s="2" t="n">
        <v>0</v>
      </c>
      <c r="CC26" s="2" t="n">
        <v>1</v>
      </c>
      <c r="CD26" s="2" t="n">
        <v>0</v>
      </c>
      <c r="CE26" s="2" t="n">
        <v>1</v>
      </c>
      <c r="CF26" s="2" t="s">
        <v>272</v>
      </c>
      <c r="CG26" s="2" t="n">
        <v>2</v>
      </c>
      <c r="CH26" s="2" t="n">
        <v>2</v>
      </c>
      <c r="CI26" s="2" t="n">
        <v>2</v>
      </c>
      <c r="CJ26" s="2" t="n">
        <v>3</v>
      </c>
      <c r="CK26" s="2" t="s">
        <v>138</v>
      </c>
      <c r="CL26" s="2" t="s">
        <v>154</v>
      </c>
      <c r="CM26" s="2" t="s">
        <v>140</v>
      </c>
      <c r="CN26" s="2" t="s">
        <v>122</v>
      </c>
      <c r="CO26" s="2" t="s">
        <v>122</v>
      </c>
      <c r="CP26" s="2" t="s">
        <v>121</v>
      </c>
      <c r="CQ26" s="2" t="s">
        <v>121</v>
      </c>
      <c r="CR26" s="2" t="s">
        <v>141</v>
      </c>
      <c r="CS26" s="2"/>
      <c r="CT26" s="2"/>
    </row>
    <row r="27" customFormat="false" ht="15" hidden="false" customHeight="false" outlineLevel="0" collapsed="false">
      <c r="A27" s="2" t="n">
        <v>26</v>
      </c>
      <c r="B27" s="2" t="s">
        <v>273</v>
      </c>
      <c r="C27" s="2" t="s">
        <v>259</v>
      </c>
      <c r="D27" s="2" t="s">
        <v>208</v>
      </c>
      <c r="E27" s="2" t="s">
        <v>171</v>
      </c>
      <c r="F27" s="2" t="s">
        <v>179</v>
      </c>
      <c r="G27" s="2" t="s">
        <v>180</v>
      </c>
      <c r="H27" s="2" t="s">
        <v>104</v>
      </c>
      <c r="I27" s="2" t="s">
        <v>105</v>
      </c>
      <c r="J27" s="2" t="s">
        <v>146</v>
      </c>
      <c r="K27" s="2"/>
      <c r="L27" s="2"/>
      <c r="M27" s="2" t="s">
        <v>130</v>
      </c>
      <c r="N27" s="2" t="s">
        <v>108</v>
      </c>
      <c r="O27" s="2"/>
      <c r="P27" s="2" t="s">
        <v>109</v>
      </c>
      <c r="Q27" s="2" t="s">
        <v>184</v>
      </c>
      <c r="R27" s="2" t="s">
        <v>149</v>
      </c>
      <c r="S27" s="2" t="s">
        <v>232</v>
      </c>
      <c r="T27" s="2" t="n">
        <v>1</v>
      </c>
      <c r="U27" s="2" t="n">
        <v>0</v>
      </c>
      <c r="V27" s="2" t="n">
        <v>1</v>
      </c>
      <c r="W27" s="2" t="n">
        <v>0</v>
      </c>
      <c r="X27" s="2" t="s">
        <v>173</v>
      </c>
      <c r="Y27" s="2"/>
      <c r="Z27" s="2"/>
      <c r="AA27" s="2"/>
      <c r="AB27" s="2" t="n">
        <v>2</v>
      </c>
      <c r="AC27" s="2" t="n">
        <v>4</v>
      </c>
      <c r="AD27" s="2" t="n">
        <v>5</v>
      </c>
      <c r="AE27" s="2" t="n">
        <v>4</v>
      </c>
      <c r="AF27" s="2" t="n">
        <v>5</v>
      </c>
      <c r="AG27" s="2" t="n">
        <v>5</v>
      </c>
      <c r="AH27" s="2" t="n">
        <v>0</v>
      </c>
      <c r="AI27" s="2" t="n">
        <v>0</v>
      </c>
      <c r="AJ27" s="2" t="n">
        <v>1</v>
      </c>
      <c r="AK27" s="2" t="n">
        <v>0</v>
      </c>
      <c r="AL27" s="2" t="n">
        <v>1</v>
      </c>
      <c r="AM27" s="2" t="n">
        <v>0</v>
      </c>
      <c r="AN27" s="2" t="s">
        <v>274</v>
      </c>
      <c r="AO27" s="2" t="n">
        <v>3</v>
      </c>
      <c r="AP27" s="2" t="n">
        <v>5</v>
      </c>
      <c r="AQ27" s="2" t="n">
        <v>4</v>
      </c>
      <c r="AR27" s="2" t="n">
        <v>3</v>
      </c>
      <c r="AS27" s="2" t="n">
        <v>1</v>
      </c>
      <c r="AT27" s="2" t="n">
        <v>3</v>
      </c>
      <c r="AU27" s="2"/>
      <c r="AV27" s="2" t="n">
        <v>0</v>
      </c>
      <c r="AW27" s="2" t="n">
        <v>0</v>
      </c>
      <c r="AX27" s="2" t="n">
        <v>0</v>
      </c>
      <c r="AY27" s="2" t="n">
        <v>1</v>
      </c>
      <c r="AZ27" s="2" t="n">
        <v>1</v>
      </c>
      <c r="BA27" s="2" t="s">
        <v>134</v>
      </c>
      <c r="BB27" s="2" t="s">
        <v>217</v>
      </c>
      <c r="BC27" s="2" t="n">
        <v>3</v>
      </c>
      <c r="BD27" s="2" t="n">
        <v>1</v>
      </c>
      <c r="BE27" s="2" t="n">
        <v>4</v>
      </c>
      <c r="BF27" s="2" t="n">
        <v>2</v>
      </c>
      <c r="BG27" s="2" t="n">
        <v>2</v>
      </c>
      <c r="BH27" s="2" t="n">
        <v>3</v>
      </c>
      <c r="BI27" s="2" t="n">
        <v>3</v>
      </c>
      <c r="BJ27" s="2" t="n">
        <v>4</v>
      </c>
      <c r="BK27" s="2" t="n">
        <v>4</v>
      </c>
      <c r="BL27" s="2" t="n">
        <v>3</v>
      </c>
      <c r="BM27" s="2" t="n">
        <v>3</v>
      </c>
      <c r="BN27" s="2" t="n">
        <v>5</v>
      </c>
      <c r="BO27" s="2" t="n">
        <v>1</v>
      </c>
      <c r="BP27" s="2" t="n">
        <v>5</v>
      </c>
      <c r="BQ27" s="2" t="n">
        <v>5</v>
      </c>
      <c r="BR27" s="2" t="n">
        <v>5</v>
      </c>
      <c r="BS27" s="2" t="n">
        <v>2</v>
      </c>
      <c r="BT27" s="2" t="n">
        <v>5</v>
      </c>
      <c r="BU27" s="2" t="n">
        <v>2</v>
      </c>
      <c r="BV27" s="2" t="n">
        <v>3</v>
      </c>
      <c r="BW27" s="2" t="n">
        <v>4</v>
      </c>
      <c r="BX27" s="2" t="n">
        <v>4</v>
      </c>
      <c r="BY27" s="2" t="n">
        <v>4</v>
      </c>
      <c r="BZ27" s="2" t="n">
        <v>5</v>
      </c>
      <c r="CA27" s="2" t="s">
        <v>116</v>
      </c>
      <c r="CB27" s="2" t="n">
        <v>1</v>
      </c>
      <c r="CC27" s="2" t="n">
        <v>0</v>
      </c>
      <c r="CD27" s="2" t="n">
        <v>0</v>
      </c>
      <c r="CE27" s="2" t="n">
        <v>0</v>
      </c>
      <c r="CF27" s="2" t="s">
        <v>229</v>
      </c>
      <c r="CG27" s="2" t="n">
        <v>2</v>
      </c>
      <c r="CH27" s="2" t="n">
        <v>3</v>
      </c>
      <c r="CI27" s="2" t="n">
        <v>3</v>
      </c>
      <c r="CJ27" s="2" t="n">
        <v>1</v>
      </c>
      <c r="CK27" s="2" t="s">
        <v>167</v>
      </c>
      <c r="CL27" s="2" t="s">
        <v>198</v>
      </c>
      <c r="CM27" s="2" t="s">
        <v>120</v>
      </c>
      <c r="CN27" s="2" t="s">
        <v>122</v>
      </c>
      <c r="CO27" s="2" t="s">
        <v>122</v>
      </c>
      <c r="CP27" s="2" t="s">
        <v>122</v>
      </c>
      <c r="CQ27" s="2"/>
      <c r="CR27" s="2" t="s">
        <v>141</v>
      </c>
      <c r="CS27" s="2"/>
      <c r="CT27" s="2"/>
    </row>
    <row r="28" customFormat="false" ht="15" hidden="false" customHeight="false" outlineLevel="0" collapsed="false">
      <c r="A28" s="2" t="n">
        <v>27</v>
      </c>
      <c r="B28" s="2" t="s">
        <v>275</v>
      </c>
      <c r="C28" s="2" t="s">
        <v>241</v>
      </c>
      <c r="D28" s="2" t="s">
        <v>100</v>
      </c>
      <c r="E28" s="2" t="s">
        <v>158</v>
      </c>
      <c r="F28" s="2" t="s">
        <v>102</v>
      </c>
      <c r="G28" s="2" t="s">
        <v>103</v>
      </c>
      <c r="H28" s="2" t="s">
        <v>181</v>
      </c>
      <c r="I28" s="2"/>
      <c r="J28" s="2" t="s">
        <v>106</v>
      </c>
      <c r="K28" s="2"/>
      <c r="L28" s="2" t="s">
        <v>172</v>
      </c>
      <c r="M28" s="2" t="s">
        <v>221</v>
      </c>
      <c r="N28" s="2" t="s">
        <v>167</v>
      </c>
      <c r="O28" s="2"/>
      <c r="P28" s="2" t="s">
        <v>149</v>
      </c>
      <c r="Q28" s="2"/>
      <c r="R28" s="2" t="s">
        <v>149</v>
      </c>
      <c r="S28" s="2" t="s">
        <v>132</v>
      </c>
      <c r="T28" s="2" t="n">
        <v>0</v>
      </c>
      <c r="U28" s="2" t="n">
        <v>0</v>
      </c>
      <c r="V28" s="2" t="n">
        <v>1</v>
      </c>
      <c r="W28" s="2" t="n">
        <v>0</v>
      </c>
      <c r="X28" s="2" t="s">
        <v>201</v>
      </c>
      <c r="Y28" s="2"/>
      <c r="Z28" s="2"/>
      <c r="AA28" s="2"/>
      <c r="AB28" s="2"/>
      <c r="AC28" s="2" t="n">
        <v>5</v>
      </c>
      <c r="AD28" s="2" t="n">
        <v>3</v>
      </c>
      <c r="AE28" s="2" t="n">
        <v>2</v>
      </c>
      <c r="AF28" s="2" t="n">
        <v>2</v>
      </c>
      <c r="AG28" s="2" t="n">
        <v>3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1</v>
      </c>
      <c r="AM28" s="2" t="n">
        <v>0</v>
      </c>
      <c r="AN28" s="2" t="s">
        <v>276</v>
      </c>
      <c r="AO28" s="2" t="n">
        <v>1</v>
      </c>
      <c r="AP28" s="2" t="n">
        <v>2</v>
      </c>
      <c r="AQ28" s="2"/>
      <c r="AR28" s="2" t="n">
        <v>3</v>
      </c>
      <c r="AS28" s="2" t="n">
        <v>2</v>
      </c>
      <c r="AT28" s="2" t="n">
        <v>5</v>
      </c>
      <c r="AU28" s="2" t="n">
        <v>3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1</v>
      </c>
      <c r="BA28" s="2" t="s">
        <v>216</v>
      </c>
      <c r="BB28" s="2" t="s">
        <v>217</v>
      </c>
      <c r="BC28" s="2" t="n">
        <v>3</v>
      </c>
      <c r="BD28" s="2" t="n">
        <v>3</v>
      </c>
      <c r="BE28" s="2" t="n">
        <v>2</v>
      </c>
      <c r="BF28" s="2" t="n">
        <v>4</v>
      </c>
      <c r="BG28" s="2" t="n">
        <v>4</v>
      </c>
      <c r="BH28" s="2" t="n">
        <v>4</v>
      </c>
      <c r="BI28" s="2" t="n">
        <v>4</v>
      </c>
      <c r="BJ28" s="2" t="n">
        <v>1</v>
      </c>
      <c r="BK28" s="2" t="n">
        <v>1</v>
      </c>
      <c r="BL28" s="2" t="n">
        <v>5</v>
      </c>
      <c r="BM28" s="2" t="n">
        <v>1</v>
      </c>
      <c r="BN28" s="2" t="n">
        <v>2</v>
      </c>
      <c r="BO28" s="2" t="n">
        <v>4</v>
      </c>
      <c r="BP28" s="2" t="n">
        <v>4</v>
      </c>
      <c r="BQ28" s="2" t="n">
        <v>3</v>
      </c>
      <c r="BR28" s="2" t="n">
        <v>2</v>
      </c>
      <c r="BS28" s="2" t="n">
        <v>4</v>
      </c>
      <c r="BT28" s="2" t="n">
        <v>3</v>
      </c>
      <c r="BU28" s="2" t="n">
        <v>4</v>
      </c>
      <c r="BV28" s="2" t="n">
        <v>4</v>
      </c>
      <c r="BW28" s="2" t="n">
        <v>2</v>
      </c>
      <c r="BX28" s="2" t="n">
        <v>3</v>
      </c>
      <c r="BY28" s="2"/>
      <c r="BZ28" s="2" t="n">
        <v>1</v>
      </c>
      <c r="CA28" s="2" t="s">
        <v>189</v>
      </c>
      <c r="CB28" s="2" t="n">
        <v>1</v>
      </c>
      <c r="CC28" s="2" t="n">
        <v>0</v>
      </c>
      <c r="CD28" s="2" t="n">
        <v>1</v>
      </c>
      <c r="CE28" s="2" t="n">
        <v>0</v>
      </c>
      <c r="CF28" s="2" t="s">
        <v>239</v>
      </c>
      <c r="CG28" s="2" t="n">
        <v>5</v>
      </c>
      <c r="CH28" s="2" t="n">
        <v>3</v>
      </c>
      <c r="CI28" s="2" t="n">
        <v>3</v>
      </c>
      <c r="CJ28" s="2" t="n">
        <v>3</v>
      </c>
      <c r="CK28" s="2" t="s">
        <v>138</v>
      </c>
      <c r="CL28" s="2" t="s">
        <v>154</v>
      </c>
      <c r="CM28" s="2" t="s">
        <v>205</v>
      </c>
      <c r="CN28" s="2" t="s">
        <v>121</v>
      </c>
      <c r="CO28" s="2" t="s">
        <v>122</v>
      </c>
      <c r="CP28" s="2"/>
      <c r="CQ28" s="2" t="s">
        <v>122</v>
      </c>
      <c r="CR28" s="2"/>
      <c r="CS28" s="2"/>
      <c r="CT28" s="2"/>
    </row>
    <row r="29" customFormat="false" ht="15" hidden="false" customHeight="false" outlineLevel="0" collapsed="false">
      <c r="A29" s="2" t="n">
        <v>28</v>
      </c>
      <c r="B29" s="2" t="s">
        <v>277</v>
      </c>
      <c r="C29" s="2" t="s">
        <v>278</v>
      </c>
      <c r="D29" s="2" t="s">
        <v>227</v>
      </c>
      <c r="E29" s="2" t="s">
        <v>171</v>
      </c>
      <c r="F29" s="2" t="s">
        <v>102</v>
      </c>
      <c r="G29" s="2" t="s">
        <v>103</v>
      </c>
      <c r="H29" s="2" t="s">
        <v>159</v>
      </c>
      <c r="I29" s="2" t="s">
        <v>160</v>
      </c>
      <c r="J29" s="2" t="s">
        <v>128</v>
      </c>
      <c r="K29" s="2"/>
      <c r="L29" s="2" t="s">
        <v>182</v>
      </c>
      <c r="M29" s="2" t="s">
        <v>130</v>
      </c>
      <c r="N29" s="2" t="s">
        <v>183</v>
      </c>
      <c r="O29" s="2"/>
      <c r="P29" s="2" t="s">
        <v>109</v>
      </c>
      <c r="Q29" s="2" t="s">
        <v>184</v>
      </c>
      <c r="R29" s="2" t="s">
        <v>149</v>
      </c>
      <c r="S29" s="2" t="s">
        <v>132</v>
      </c>
      <c r="T29" s="2" t="n">
        <v>1</v>
      </c>
      <c r="U29" s="2" t="n">
        <v>0</v>
      </c>
      <c r="V29" s="2" t="n">
        <v>1</v>
      </c>
      <c r="W29" s="2" t="n">
        <v>0</v>
      </c>
      <c r="X29" s="2" t="s">
        <v>279</v>
      </c>
      <c r="Y29" s="2" t="n">
        <v>5</v>
      </c>
      <c r="Z29" s="2" t="n">
        <v>5</v>
      </c>
      <c r="AA29" s="2"/>
      <c r="AB29" s="2" t="n">
        <v>3</v>
      </c>
      <c r="AC29" s="2" t="n">
        <v>4</v>
      </c>
      <c r="AD29" s="2" t="n">
        <v>2</v>
      </c>
      <c r="AE29" s="2" t="n">
        <v>5</v>
      </c>
      <c r="AF29" s="2" t="n">
        <v>2</v>
      </c>
      <c r="AG29" s="2"/>
      <c r="AH29" s="2" t="n">
        <v>0</v>
      </c>
      <c r="AI29" s="2" t="n">
        <v>0</v>
      </c>
      <c r="AJ29" s="2" t="n">
        <v>1</v>
      </c>
      <c r="AK29" s="2" t="n">
        <v>0</v>
      </c>
      <c r="AL29" s="2" t="n">
        <v>1</v>
      </c>
      <c r="AM29" s="2" t="n">
        <v>0</v>
      </c>
      <c r="AN29" s="2" t="s">
        <v>274</v>
      </c>
      <c r="AO29" s="2" t="n">
        <v>2</v>
      </c>
      <c r="AP29" s="2" t="n">
        <v>4</v>
      </c>
      <c r="AQ29" s="2" t="n">
        <v>4</v>
      </c>
      <c r="AR29" s="2" t="n">
        <v>3</v>
      </c>
      <c r="AS29" s="2" t="n">
        <v>2</v>
      </c>
      <c r="AT29" s="2" t="n">
        <v>2</v>
      </c>
      <c r="AU29" s="2" t="n">
        <v>1</v>
      </c>
      <c r="AV29" s="2" t="n">
        <v>1</v>
      </c>
      <c r="AW29" s="2" t="n">
        <v>0</v>
      </c>
      <c r="AX29" s="2" t="n">
        <v>0</v>
      </c>
      <c r="AY29" s="2" t="n">
        <v>1</v>
      </c>
      <c r="AZ29" s="2" t="n">
        <v>0</v>
      </c>
      <c r="BA29" s="2" t="s">
        <v>188</v>
      </c>
      <c r="BB29" s="2"/>
      <c r="BC29" s="2" t="n">
        <v>1</v>
      </c>
      <c r="BD29" s="2" t="n">
        <v>2</v>
      </c>
      <c r="BE29" s="2" t="n">
        <v>3</v>
      </c>
      <c r="BF29" s="2" t="n">
        <v>4</v>
      </c>
      <c r="BG29" s="2"/>
      <c r="BH29" s="2" t="n">
        <v>5</v>
      </c>
      <c r="BI29" s="2" t="n">
        <v>2</v>
      </c>
      <c r="BJ29" s="2"/>
      <c r="BK29" s="2" t="n">
        <v>3</v>
      </c>
      <c r="BL29" s="2" t="n">
        <v>4</v>
      </c>
      <c r="BM29" s="2" t="n">
        <v>3</v>
      </c>
      <c r="BN29" s="2" t="n">
        <v>4</v>
      </c>
      <c r="BO29" s="2" t="n">
        <v>4</v>
      </c>
      <c r="BP29" s="2" t="n">
        <v>3</v>
      </c>
      <c r="BQ29" s="2" t="n">
        <v>5</v>
      </c>
      <c r="BR29" s="2" t="n">
        <v>4</v>
      </c>
      <c r="BS29" s="2" t="n">
        <v>4</v>
      </c>
      <c r="BT29" s="2" t="n">
        <v>4</v>
      </c>
      <c r="BU29" s="2" t="n">
        <v>4</v>
      </c>
      <c r="BV29" s="2" t="n">
        <v>5</v>
      </c>
      <c r="BW29" s="2" t="n">
        <v>5</v>
      </c>
      <c r="BX29" s="2" t="n">
        <v>4</v>
      </c>
      <c r="BY29" s="2" t="n">
        <v>3</v>
      </c>
      <c r="BZ29" s="2" t="n">
        <v>5</v>
      </c>
      <c r="CA29" s="2" t="s">
        <v>115</v>
      </c>
      <c r="CB29" s="2" t="n">
        <v>0</v>
      </c>
      <c r="CC29" s="2" t="n">
        <v>1</v>
      </c>
      <c r="CD29" s="2" t="n">
        <v>1</v>
      </c>
      <c r="CE29" s="2" t="n">
        <v>0</v>
      </c>
      <c r="CF29" s="2" t="s">
        <v>153</v>
      </c>
      <c r="CG29" s="2" t="n">
        <v>3</v>
      </c>
      <c r="CH29" s="2" t="n">
        <v>5</v>
      </c>
      <c r="CI29" s="2" t="n">
        <v>2</v>
      </c>
      <c r="CJ29" s="2" t="n">
        <v>1</v>
      </c>
      <c r="CK29" s="2" t="s">
        <v>176</v>
      </c>
      <c r="CL29" s="2" t="s">
        <v>198</v>
      </c>
      <c r="CM29" s="2" t="s">
        <v>120</v>
      </c>
      <c r="CN29" s="2"/>
      <c r="CO29" s="2" t="s">
        <v>121</v>
      </c>
      <c r="CP29" s="2"/>
      <c r="CQ29" s="2" t="s">
        <v>121</v>
      </c>
      <c r="CR29" s="2" t="s">
        <v>141</v>
      </c>
      <c r="CS29" s="2"/>
      <c r="CT29" s="2"/>
    </row>
    <row r="30" customFormat="false" ht="15" hidden="false" customHeight="false" outlineLevel="0" collapsed="false">
      <c r="A30" s="2" t="n">
        <v>29</v>
      </c>
      <c r="B30" s="2" t="s">
        <v>280</v>
      </c>
      <c r="C30" s="2" t="s">
        <v>226</v>
      </c>
      <c r="D30" s="2" t="s">
        <v>208</v>
      </c>
      <c r="E30" s="2" t="s">
        <v>193</v>
      </c>
      <c r="F30" s="2" t="s">
        <v>102</v>
      </c>
      <c r="G30" s="2" t="s">
        <v>103</v>
      </c>
      <c r="H30" s="2" t="s">
        <v>126</v>
      </c>
      <c r="I30" s="2" t="s">
        <v>127</v>
      </c>
      <c r="J30" s="2" t="s">
        <v>146</v>
      </c>
      <c r="K30" s="2"/>
      <c r="L30" s="2"/>
      <c r="M30" s="2" t="s">
        <v>130</v>
      </c>
      <c r="N30" s="2" t="s">
        <v>209</v>
      </c>
      <c r="O30" s="2"/>
      <c r="P30" s="2" t="s">
        <v>109</v>
      </c>
      <c r="Q30" s="2" t="s">
        <v>110</v>
      </c>
      <c r="R30" s="2" t="s">
        <v>109</v>
      </c>
      <c r="S30" s="2" t="s">
        <v>185</v>
      </c>
      <c r="T30" s="2" t="n">
        <v>0</v>
      </c>
      <c r="U30" s="2" t="n">
        <v>1</v>
      </c>
      <c r="V30" s="2" t="n">
        <v>0</v>
      </c>
      <c r="W30" s="2" t="n">
        <v>1</v>
      </c>
      <c r="X30" s="2" t="s">
        <v>112</v>
      </c>
      <c r="Y30" s="2"/>
      <c r="Z30" s="2"/>
      <c r="AA30" s="2"/>
      <c r="AB30" s="2" t="n">
        <v>4</v>
      </c>
      <c r="AC30" s="2" t="n">
        <v>3</v>
      </c>
      <c r="AD30" s="2" t="n">
        <v>3</v>
      </c>
      <c r="AE30" s="2" t="n">
        <v>3</v>
      </c>
      <c r="AF30" s="2" t="n">
        <v>3</v>
      </c>
      <c r="AG30" s="2" t="n">
        <v>5</v>
      </c>
      <c r="AH30" s="2" t="n">
        <v>1</v>
      </c>
      <c r="AI30" s="2" t="n">
        <v>0</v>
      </c>
      <c r="AJ30" s="2" t="n">
        <v>0</v>
      </c>
      <c r="AK30" s="2" t="n">
        <v>1</v>
      </c>
      <c r="AL30" s="2" t="n">
        <v>0</v>
      </c>
      <c r="AM30" s="2" t="n">
        <v>0</v>
      </c>
      <c r="AN30" s="2" t="s">
        <v>256</v>
      </c>
      <c r="AO30" s="2"/>
      <c r="AP30" s="2" t="n">
        <v>3</v>
      </c>
      <c r="AQ30" s="2" t="n">
        <v>4</v>
      </c>
      <c r="AR30" s="2" t="n">
        <v>4</v>
      </c>
      <c r="AS30" s="2" t="n">
        <v>5</v>
      </c>
      <c r="AT30" s="2" t="n">
        <v>4</v>
      </c>
      <c r="AU30" s="2" t="n">
        <v>1</v>
      </c>
      <c r="AV30" s="2" t="n">
        <v>1</v>
      </c>
      <c r="AW30" s="2" t="n">
        <v>0</v>
      </c>
      <c r="AX30" s="2" t="n">
        <v>0</v>
      </c>
      <c r="AY30" s="2" t="n">
        <v>0</v>
      </c>
      <c r="AZ30" s="2" t="n">
        <v>0</v>
      </c>
      <c r="BA30" s="2" t="s">
        <v>257</v>
      </c>
      <c r="BB30" s="2" t="s">
        <v>115</v>
      </c>
      <c r="BC30" s="2" t="n">
        <v>1</v>
      </c>
      <c r="BD30" s="2" t="n">
        <v>2</v>
      </c>
      <c r="BE30" s="2" t="n">
        <v>5</v>
      </c>
      <c r="BF30" s="2" t="n">
        <v>4</v>
      </c>
      <c r="BG30" s="2"/>
      <c r="BH30" s="2" t="n">
        <v>4</v>
      </c>
      <c r="BI30" s="2" t="n">
        <v>3</v>
      </c>
      <c r="BJ30" s="2" t="n">
        <v>2</v>
      </c>
      <c r="BK30" s="2" t="n">
        <v>2</v>
      </c>
      <c r="BL30" s="2" t="n">
        <v>4</v>
      </c>
      <c r="BM30" s="2" t="n">
        <v>1</v>
      </c>
      <c r="BN30" s="2" t="n">
        <v>3</v>
      </c>
      <c r="BO30" s="2" t="n">
        <v>4</v>
      </c>
      <c r="BP30" s="2" t="n">
        <v>2</v>
      </c>
      <c r="BQ30" s="2" t="n">
        <v>5</v>
      </c>
      <c r="BR30" s="2" t="n">
        <v>5</v>
      </c>
      <c r="BS30" s="2" t="n">
        <v>4</v>
      </c>
      <c r="BT30" s="2" t="n">
        <v>4</v>
      </c>
      <c r="BU30" s="2" t="n">
        <v>1</v>
      </c>
      <c r="BV30" s="2" t="n">
        <v>4</v>
      </c>
      <c r="BW30" s="2" t="n">
        <v>5</v>
      </c>
      <c r="BX30" s="2" t="n">
        <v>4</v>
      </c>
      <c r="BY30" s="2" t="n">
        <v>4</v>
      </c>
      <c r="BZ30" s="2" t="n">
        <v>4</v>
      </c>
      <c r="CA30" s="2" t="s">
        <v>136</v>
      </c>
      <c r="CB30" s="2" t="n">
        <v>0</v>
      </c>
      <c r="CC30" s="2" t="n">
        <v>0</v>
      </c>
      <c r="CD30" s="2" t="n">
        <v>1</v>
      </c>
      <c r="CE30" s="2" t="n">
        <v>0</v>
      </c>
      <c r="CF30" s="2" t="s">
        <v>137</v>
      </c>
      <c r="CG30" s="2" t="n">
        <v>3</v>
      </c>
      <c r="CH30" s="2" t="n">
        <v>3</v>
      </c>
      <c r="CI30" s="2" t="n">
        <v>1</v>
      </c>
      <c r="CJ30" s="2" t="n">
        <v>4</v>
      </c>
      <c r="CK30" s="2" t="s">
        <v>167</v>
      </c>
      <c r="CL30" s="2" t="s">
        <v>154</v>
      </c>
      <c r="CM30" s="2" t="s">
        <v>168</v>
      </c>
      <c r="CN30" s="2" t="s">
        <v>121</v>
      </c>
      <c r="CO30" s="2" t="s">
        <v>122</v>
      </c>
      <c r="CP30" s="2" t="s">
        <v>121</v>
      </c>
      <c r="CQ30" s="2"/>
      <c r="CR30" s="2"/>
      <c r="CS30" s="2"/>
      <c r="CT30" s="2"/>
    </row>
    <row r="31" customFormat="false" ht="15" hidden="false" customHeight="false" outlineLevel="0" collapsed="false">
      <c r="A31" s="2" t="n">
        <v>30</v>
      </c>
      <c r="B31" s="2" t="s">
        <v>281</v>
      </c>
      <c r="C31" s="2" t="s">
        <v>235</v>
      </c>
      <c r="D31" s="2" t="s">
        <v>100</v>
      </c>
      <c r="E31" s="2" t="s">
        <v>125</v>
      </c>
      <c r="F31" s="2" t="s">
        <v>179</v>
      </c>
      <c r="G31" s="2" t="s">
        <v>180</v>
      </c>
      <c r="H31" s="2" t="s">
        <v>126</v>
      </c>
      <c r="I31" s="2" t="s">
        <v>105</v>
      </c>
      <c r="J31" s="2" t="s">
        <v>128</v>
      </c>
      <c r="K31" s="2"/>
      <c r="L31" s="2" t="s">
        <v>172</v>
      </c>
      <c r="M31" s="2" t="s">
        <v>130</v>
      </c>
      <c r="N31" s="2" t="s">
        <v>183</v>
      </c>
      <c r="O31" s="2"/>
      <c r="P31" s="2" t="s">
        <v>109</v>
      </c>
      <c r="Q31" s="2" t="s">
        <v>148</v>
      </c>
      <c r="R31" s="2" t="s">
        <v>149</v>
      </c>
      <c r="S31" s="2" t="s">
        <v>282</v>
      </c>
      <c r="T31" s="2" t="n">
        <v>0</v>
      </c>
      <c r="U31" s="2" t="n">
        <v>1</v>
      </c>
      <c r="V31" s="2" t="n">
        <v>0</v>
      </c>
      <c r="W31" s="2" t="n">
        <v>0</v>
      </c>
      <c r="X31" s="2" t="s">
        <v>194</v>
      </c>
      <c r="Y31" s="2"/>
      <c r="Z31" s="2" t="n">
        <v>5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5</v>
      </c>
      <c r="AF31" s="2" t="n">
        <v>4</v>
      </c>
      <c r="AG31" s="2"/>
      <c r="AH31" s="2" t="n">
        <v>0</v>
      </c>
      <c r="AI31" s="2" t="n">
        <v>0</v>
      </c>
      <c r="AJ31" s="2" t="n">
        <v>1</v>
      </c>
      <c r="AK31" s="2" t="n">
        <v>0</v>
      </c>
      <c r="AL31" s="2" t="n">
        <v>0</v>
      </c>
      <c r="AM31" s="2" t="n">
        <v>0</v>
      </c>
      <c r="AN31" s="2" t="s">
        <v>113</v>
      </c>
      <c r="AO31" s="2" t="n">
        <v>4</v>
      </c>
      <c r="AP31" s="2" t="n">
        <v>5</v>
      </c>
      <c r="AQ31" s="2" t="n">
        <v>4</v>
      </c>
      <c r="AR31" s="2"/>
      <c r="AS31" s="2" t="n">
        <v>3</v>
      </c>
      <c r="AT31" s="2" t="n">
        <v>1</v>
      </c>
      <c r="AU31" s="2" t="n">
        <v>3</v>
      </c>
      <c r="AV31" s="2" t="n">
        <v>0</v>
      </c>
      <c r="AW31" s="2" t="n">
        <v>1</v>
      </c>
      <c r="AX31" s="2" t="n">
        <v>1</v>
      </c>
      <c r="AY31" s="2" t="n">
        <v>0</v>
      </c>
      <c r="AZ31" s="2" t="n">
        <v>0</v>
      </c>
      <c r="BA31" s="2" t="s">
        <v>269</v>
      </c>
      <c r="BB31" s="2" t="s">
        <v>165</v>
      </c>
      <c r="BC31" s="2" t="n">
        <v>1</v>
      </c>
      <c r="BD31" s="2" t="n">
        <v>3</v>
      </c>
      <c r="BE31" s="2" t="n">
        <v>1</v>
      </c>
      <c r="BF31" s="2" t="n">
        <v>2</v>
      </c>
      <c r="BG31" s="2" t="n">
        <v>4</v>
      </c>
      <c r="BH31" s="2" t="n">
        <v>3</v>
      </c>
      <c r="BI31" s="2" t="n">
        <v>5</v>
      </c>
      <c r="BJ31" s="2" t="n">
        <v>3</v>
      </c>
      <c r="BK31" s="2" t="n">
        <v>5</v>
      </c>
      <c r="BL31" s="2" t="n">
        <v>4</v>
      </c>
      <c r="BM31" s="2" t="n">
        <v>3</v>
      </c>
      <c r="BN31" s="2" t="n">
        <v>3</v>
      </c>
      <c r="BO31" s="2" t="n">
        <v>5</v>
      </c>
      <c r="BP31" s="2" t="n">
        <v>4</v>
      </c>
      <c r="BQ31" s="2" t="n">
        <v>5</v>
      </c>
      <c r="BR31" s="2" t="n">
        <v>1</v>
      </c>
      <c r="BS31" s="2"/>
      <c r="BT31" s="2" t="n">
        <v>3</v>
      </c>
      <c r="BU31" s="2" t="n">
        <v>3</v>
      </c>
      <c r="BV31" s="2" t="n">
        <v>4</v>
      </c>
      <c r="BW31" s="2" t="n">
        <v>2</v>
      </c>
      <c r="BX31" s="2" t="n">
        <v>5</v>
      </c>
      <c r="BY31" s="2" t="n">
        <v>3</v>
      </c>
      <c r="BZ31" s="2" t="n">
        <v>2</v>
      </c>
      <c r="CA31" s="2" t="s">
        <v>189</v>
      </c>
      <c r="CB31" s="2" t="n">
        <v>0</v>
      </c>
      <c r="CC31" s="2" t="n">
        <v>0</v>
      </c>
      <c r="CD31" s="2" t="n">
        <v>1</v>
      </c>
      <c r="CE31" s="2" t="n">
        <v>1</v>
      </c>
      <c r="CF31" s="2" t="s">
        <v>283</v>
      </c>
      <c r="CG31" s="2" t="n">
        <v>4</v>
      </c>
      <c r="CH31" s="2" t="n">
        <v>4</v>
      </c>
      <c r="CI31" s="2" t="n">
        <v>1</v>
      </c>
      <c r="CJ31" s="2" t="n">
        <v>5</v>
      </c>
      <c r="CK31" s="2" t="s">
        <v>176</v>
      </c>
      <c r="CL31" s="2" t="s">
        <v>139</v>
      </c>
      <c r="CM31" s="2" t="s">
        <v>120</v>
      </c>
      <c r="CN31" s="2"/>
      <c r="CO31" s="2" t="s">
        <v>122</v>
      </c>
      <c r="CP31" s="2"/>
      <c r="CQ31" s="2" t="s">
        <v>122</v>
      </c>
      <c r="CR31" s="2" t="s">
        <v>141</v>
      </c>
      <c r="CS31" s="2"/>
      <c r="CT31" s="2"/>
    </row>
    <row r="32" customFormat="false" ht="15" hidden="false" customHeight="false" outlineLevel="0" collapsed="false">
      <c r="A32" s="2" t="n">
        <v>31</v>
      </c>
      <c r="B32" s="2" t="s">
        <v>284</v>
      </c>
      <c r="C32" s="2" t="s">
        <v>285</v>
      </c>
      <c r="D32" s="2" t="s">
        <v>157</v>
      </c>
      <c r="E32" s="2" t="s">
        <v>193</v>
      </c>
      <c r="F32" s="2" t="s">
        <v>179</v>
      </c>
      <c r="G32" s="2" t="s">
        <v>180</v>
      </c>
      <c r="H32" s="2" t="s">
        <v>181</v>
      </c>
      <c r="I32" s="2" t="s">
        <v>127</v>
      </c>
      <c r="J32" s="2" t="s">
        <v>106</v>
      </c>
      <c r="K32" s="2"/>
      <c r="L32" s="2" t="s">
        <v>129</v>
      </c>
      <c r="M32" s="2" t="s">
        <v>221</v>
      </c>
      <c r="N32" s="2" t="s">
        <v>209</v>
      </c>
      <c r="O32" s="2"/>
      <c r="P32" s="2" t="s">
        <v>149</v>
      </c>
      <c r="Q32" s="2" t="s">
        <v>131</v>
      </c>
      <c r="R32" s="2" t="s">
        <v>149</v>
      </c>
      <c r="S32" s="2" t="s">
        <v>185</v>
      </c>
      <c r="T32" s="2" t="n">
        <v>0</v>
      </c>
      <c r="U32" s="2" t="n">
        <v>0</v>
      </c>
      <c r="V32" s="2" t="n">
        <v>0</v>
      </c>
      <c r="W32" s="2" t="n">
        <v>1</v>
      </c>
      <c r="X32" s="2" t="s">
        <v>268</v>
      </c>
      <c r="Y32" s="2"/>
      <c r="Z32" s="2"/>
      <c r="AA32" s="2"/>
      <c r="AB32" s="2" t="n">
        <v>3</v>
      </c>
      <c r="AC32" s="2" t="n">
        <v>3</v>
      </c>
      <c r="AD32" s="2" t="n">
        <v>2</v>
      </c>
      <c r="AE32" s="2" t="n">
        <v>4</v>
      </c>
      <c r="AF32" s="2" t="n">
        <v>4</v>
      </c>
      <c r="AG32" s="2" t="n">
        <v>4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1</v>
      </c>
      <c r="AN32" s="2" t="s">
        <v>167</v>
      </c>
      <c r="AO32" s="2" t="n">
        <v>3</v>
      </c>
      <c r="AP32" s="2" t="n">
        <v>3</v>
      </c>
      <c r="AQ32" s="2" t="n">
        <v>2</v>
      </c>
      <c r="AR32" s="2" t="n">
        <v>2</v>
      </c>
      <c r="AS32" s="2" t="n">
        <v>1</v>
      </c>
      <c r="AT32" s="2" t="n">
        <v>3</v>
      </c>
      <c r="AU32" s="2" t="n">
        <v>4</v>
      </c>
      <c r="AV32" s="2" t="n">
        <v>0</v>
      </c>
      <c r="AW32" s="2" t="n">
        <v>0</v>
      </c>
      <c r="AX32" s="2" t="n">
        <v>1</v>
      </c>
      <c r="AY32" s="2" t="n">
        <v>0</v>
      </c>
      <c r="AZ32" s="2" t="n">
        <v>1</v>
      </c>
      <c r="BA32" s="2" t="s">
        <v>203</v>
      </c>
      <c r="BB32" s="2" t="s">
        <v>115</v>
      </c>
      <c r="BC32" s="2" t="n">
        <v>4</v>
      </c>
      <c r="BD32" s="2" t="n">
        <v>4</v>
      </c>
      <c r="BE32" s="2"/>
      <c r="BF32" s="2" t="n">
        <v>2</v>
      </c>
      <c r="BG32" s="2" t="n">
        <v>5</v>
      </c>
      <c r="BH32" s="2" t="n">
        <v>4</v>
      </c>
      <c r="BI32" s="2" t="n">
        <v>4</v>
      </c>
      <c r="BJ32" s="2"/>
      <c r="BK32" s="2" t="n">
        <v>4</v>
      </c>
      <c r="BL32" s="2" t="n">
        <v>4</v>
      </c>
      <c r="BM32" s="2"/>
      <c r="BN32" s="2" t="n">
        <v>2</v>
      </c>
      <c r="BO32" s="2" t="n">
        <v>3</v>
      </c>
      <c r="BP32" s="2" t="n">
        <v>5</v>
      </c>
      <c r="BQ32" s="2" t="n">
        <v>4</v>
      </c>
      <c r="BR32" s="2" t="n">
        <v>4</v>
      </c>
      <c r="BS32" s="2" t="n">
        <v>3</v>
      </c>
      <c r="BT32" s="2" t="n">
        <v>1</v>
      </c>
      <c r="BU32" s="2" t="n">
        <v>3</v>
      </c>
      <c r="BV32" s="2" t="n">
        <v>3</v>
      </c>
      <c r="BW32" s="2" t="n">
        <v>2</v>
      </c>
      <c r="BX32" s="2" t="n">
        <v>3</v>
      </c>
      <c r="BY32" s="2" t="n">
        <v>3</v>
      </c>
      <c r="BZ32" s="2" t="n">
        <v>5</v>
      </c>
      <c r="CA32" s="2" t="s">
        <v>213</v>
      </c>
      <c r="CB32" s="2" t="n">
        <v>0</v>
      </c>
      <c r="CC32" s="2" t="n">
        <v>1</v>
      </c>
      <c r="CD32" s="2" t="n">
        <v>0</v>
      </c>
      <c r="CE32" s="2" t="n">
        <v>0</v>
      </c>
      <c r="CF32" s="2" t="s">
        <v>117</v>
      </c>
      <c r="CG32" s="2" t="n">
        <v>3</v>
      </c>
      <c r="CH32" s="2" t="n">
        <v>1</v>
      </c>
      <c r="CI32" s="2" t="n">
        <v>4</v>
      </c>
      <c r="CJ32" s="2" t="n">
        <v>4</v>
      </c>
      <c r="CK32" s="2" t="s">
        <v>167</v>
      </c>
      <c r="CL32" s="2" t="s">
        <v>198</v>
      </c>
      <c r="CM32" s="2" t="s">
        <v>120</v>
      </c>
      <c r="CN32" s="2"/>
      <c r="CO32" s="2" t="s">
        <v>122</v>
      </c>
      <c r="CP32" s="2"/>
      <c r="CQ32" s="2" t="s">
        <v>122</v>
      </c>
      <c r="CR32" s="2" t="s">
        <v>141</v>
      </c>
      <c r="CS32" s="2"/>
      <c r="CT32" s="2"/>
    </row>
    <row r="33" customFormat="false" ht="15" hidden="false" customHeight="false" outlineLevel="0" collapsed="false">
      <c r="A33" s="2" t="n">
        <v>32</v>
      </c>
      <c r="B33" s="2" t="s">
        <v>286</v>
      </c>
      <c r="C33" s="2" t="s">
        <v>287</v>
      </c>
      <c r="D33" s="2" t="s">
        <v>100</v>
      </c>
      <c r="E33" s="2" t="s">
        <v>144</v>
      </c>
      <c r="F33" s="2" t="s">
        <v>102</v>
      </c>
      <c r="G33" s="2" t="s">
        <v>103</v>
      </c>
      <c r="H33" s="2" t="s">
        <v>126</v>
      </c>
      <c r="I33" s="2" t="s">
        <v>105</v>
      </c>
      <c r="J33" s="2" t="s">
        <v>128</v>
      </c>
      <c r="K33" s="2"/>
      <c r="L33" s="2" t="s">
        <v>172</v>
      </c>
      <c r="M33" s="2" t="s">
        <v>107</v>
      </c>
      <c r="N33" s="2" t="s">
        <v>108</v>
      </c>
      <c r="O33" s="2"/>
      <c r="P33" s="2" t="s">
        <v>109</v>
      </c>
      <c r="Q33" s="2" t="s">
        <v>110</v>
      </c>
      <c r="R33" s="2" t="s">
        <v>149</v>
      </c>
      <c r="S33" s="2" t="s">
        <v>282</v>
      </c>
      <c r="T33" s="2" t="n">
        <v>1</v>
      </c>
      <c r="U33" s="2" t="n">
        <v>0</v>
      </c>
      <c r="V33" s="2" t="n">
        <v>0</v>
      </c>
      <c r="W33" s="2" t="n">
        <v>1</v>
      </c>
      <c r="X33" s="2" t="s">
        <v>236</v>
      </c>
      <c r="Y33" s="2" t="n">
        <v>5</v>
      </c>
      <c r="Z33" s="2" t="n">
        <v>3</v>
      </c>
      <c r="AA33" s="2" t="n">
        <v>5</v>
      </c>
      <c r="AB33" s="2" t="n">
        <v>3</v>
      </c>
      <c r="AC33" s="2" t="n">
        <v>4</v>
      </c>
      <c r="AD33" s="2" t="n">
        <v>2</v>
      </c>
      <c r="AE33" s="2" t="n">
        <v>3</v>
      </c>
      <c r="AF33" s="2" t="n">
        <v>3</v>
      </c>
      <c r="AG33" s="2" t="n">
        <v>3</v>
      </c>
      <c r="AH33" s="2" t="n">
        <v>1</v>
      </c>
      <c r="AI33" s="2" t="n">
        <v>0</v>
      </c>
      <c r="AJ33" s="2" t="n">
        <v>0</v>
      </c>
      <c r="AK33" s="2" t="n">
        <v>0</v>
      </c>
      <c r="AL33" s="2" t="n">
        <v>1</v>
      </c>
      <c r="AM33" s="2" t="n">
        <v>0</v>
      </c>
      <c r="AN33" s="2" t="s">
        <v>288</v>
      </c>
      <c r="AO33" s="2" t="n">
        <v>4</v>
      </c>
      <c r="AP33" s="2" t="n">
        <v>3</v>
      </c>
      <c r="AQ33" s="2" t="n">
        <v>5</v>
      </c>
      <c r="AR33" s="2" t="n">
        <v>5</v>
      </c>
      <c r="AS33" s="2" t="n">
        <v>5</v>
      </c>
      <c r="AT33" s="2" t="n">
        <v>4</v>
      </c>
      <c r="AU33" s="2" t="n">
        <v>3</v>
      </c>
      <c r="AV33" s="2" t="n">
        <v>0</v>
      </c>
      <c r="AW33" s="2" t="n">
        <v>1</v>
      </c>
      <c r="AX33" s="2" t="n">
        <v>0</v>
      </c>
      <c r="AY33" s="2" t="n">
        <v>1</v>
      </c>
      <c r="AZ33" s="2" t="n">
        <v>0</v>
      </c>
      <c r="BA33" s="2" t="s">
        <v>289</v>
      </c>
      <c r="BB33" s="2"/>
      <c r="BC33" s="2" t="n">
        <v>2</v>
      </c>
      <c r="BD33" s="2" t="n">
        <v>4</v>
      </c>
      <c r="BE33" s="2" t="n">
        <v>5</v>
      </c>
      <c r="BF33" s="2" t="n">
        <v>2</v>
      </c>
      <c r="BG33" s="2" t="n">
        <v>4</v>
      </c>
      <c r="BH33" s="2" t="n">
        <v>4</v>
      </c>
      <c r="BI33" s="2" t="n">
        <v>4</v>
      </c>
      <c r="BJ33" s="2" t="n">
        <v>2</v>
      </c>
      <c r="BK33" s="2" t="n">
        <v>1</v>
      </c>
      <c r="BL33" s="2" t="n">
        <v>4</v>
      </c>
      <c r="BM33" s="2" t="n">
        <v>2</v>
      </c>
      <c r="BN33" s="2" t="n">
        <v>4</v>
      </c>
      <c r="BO33" s="2" t="n">
        <v>4</v>
      </c>
      <c r="BP33" s="2" t="n">
        <v>5</v>
      </c>
      <c r="BQ33" s="2" t="n">
        <v>1</v>
      </c>
      <c r="BR33" s="2" t="n">
        <v>3</v>
      </c>
      <c r="BS33" s="2" t="n">
        <v>4</v>
      </c>
      <c r="BT33" s="2" t="n">
        <v>4</v>
      </c>
      <c r="BU33" s="2" t="n">
        <v>3</v>
      </c>
      <c r="BV33" s="2" t="n">
        <v>5</v>
      </c>
      <c r="BW33" s="2" t="n">
        <v>4</v>
      </c>
      <c r="BX33" s="2" t="n">
        <v>3</v>
      </c>
      <c r="BY33" s="2" t="n">
        <v>5</v>
      </c>
      <c r="BZ33" s="2" t="n">
        <v>4</v>
      </c>
      <c r="CA33" s="2" t="s">
        <v>189</v>
      </c>
      <c r="CB33" s="2" t="n">
        <v>1</v>
      </c>
      <c r="CC33" s="2" t="n">
        <v>0</v>
      </c>
      <c r="CD33" s="2" t="n">
        <v>0</v>
      </c>
      <c r="CE33" s="2" t="n">
        <v>0</v>
      </c>
      <c r="CF33" s="2" t="s">
        <v>229</v>
      </c>
      <c r="CG33" s="2" t="n">
        <v>4</v>
      </c>
      <c r="CH33" s="2" t="n">
        <v>4</v>
      </c>
      <c r="CI33" s="2" t="n">
        <v>2</v>
      </c>
      <c r="CJ33" s="2" t="n">
        <v>2</v>
      </c>
      <c r="CK33" s="2" t="s">
        <v>138</v>
      </c>
      <c r="CL33" s="2" t="s">
        <v>154</v>
      </c>
      <c r="CM33" s="2" t="s">
        <v>205</v>
      </c>
      <c r="CN33" s="2" t="s">
        <v>122</v>
      </c>
      <c r="CO33" s="2" t="s">
        <v>122</v>
      </c>
      <c r="CP33" s="2"/>
      <c r="CQ33" s="2" t="s">
        <v>121</v>
      </c>
      <c r="CR33" s="2" t="s">
        <v>141</v>
      </c>
      <c r="CS33" s="2"/>
      <c r="CT33" s="2"/>
    </row>
    <row r="34" customFormat="false" ht="15" hidden="false" customHeight="false" outlineLevel="0" collapsed="false">
      <c r="A34" s="2" t="n">
        <v>33</v>
      </c>
      <c r="B34" s="2" t="s">
        <v>290</v>
      </c>
      <c r="C34" s="2" t="s">
        <v>207</v>
      </c>
      <c r="D34" s="2" t="s">
        <v>291</v>
      </c>
      <c r="E34" s="2" t="s">
        <v>171</v>
      </c>
      <c r="F34" s="2" t="s">
        <v>179</v>
      </c>
      <c r="G34" s="2" t="s">
        <v>180</v>
      </c>
      <c r="H34" s="2" t="s">
        <v>104</v>
      </c>
      <c r="I34" s="2" t="s">
        <v>160</v>
      </c>
      <c r="J34" s="2" t="s">
        <v>128</v>
      </c>
      <c r="K34" s="2"/>
      <c r="L34" s="2" t="s">
        <v>172</v>
      </c>
      <c r="M34" s="2" t="s">
        <v>161</v>
      </c>
      <c r="N34" s="2" t="s">
        <v>209</v>
      </c>
      <c r="O34" s="2"/>
      <c r="P34" s="2" t="s">
        <v>149</v>
      </c>
      <c r="Q34" s="2" t="s">
        <v>110</v>
      </c>
      <c r="R34" s="2" t="s">
        <v>109</v>
      </c>
      <c r="S34" s="2" t="s">
        <v>162</v>
      </c>
      <c r="T34" s="2" t="n">
        <v>0</v>
      </c>
      <c r="U34" s="2" t="n">
        <v>0</v>
      </c>
      <c r="V34" s="2" t="n">
        <v>1</v>
      </c>
      <c r="W34" s="2" t="n">
        <v>0</v>
      </c>
      <c r="X34" s="2" t="s">
        <v>201</v>
      </c>
      <c r="Y34" s="2" t="n">
        <v>4</v>
      </c>
      <c r="Z34" s="2" t="n">
        <v>3</v>
      </c>
      <c r="AA34" s="2" t="n">
        <v>3</v>
      </c>
      <c r="AB34" s="2" t="n">
        <v>4</v>
      </c>
      <c r="AC34" s="2" t="n">
        <v>3</v>
      </c>
      <c r="AD34" s="2" t="n">
        <v>3</v>
      </c>
      <c r="AE34" s="2" t="n">
        <v>2</v>
      </c>
      <c r="AF34" s="2" t="n">
        <v>4</v>
      </c>
      <c r="AG34" s="2" t="n">
        <v>5</v>
      </c>
      <c r="AH34" s="2" t="n">
        <v>0</v>
      </c>
      <c r="AI34" s="2" t="n">
        <v>0</v>
      </c>
      <c r="AJ34" s="2" t="n">
        <v>0</v>
      </c>
      <c r="AK34" s="2" t="n">
        <v>1</v>
      </c>
      <c r="AL34" s="2" t="n">
        <v>1</v>
      </c>
      <c r="AM34" s="2" t="n">
        <v>0</v>
      </c>
      <c r="AN34" s="2" t="s">
        <v>174</v>
      </c>
      <c r="AO34" s="2" t="n">
        <v>5</v>
      </c>
      <c r="AP34" s="2" t="n">
        <v>2</v>
      </c>
      <c r="AQ34" s="2" t="n">
        <v>5</v>
      </c>
      <c r="AR34" s="2" t="n">
        <v>3</v>
      </c>
      <c r="AS34" s="2" t="n">
        <v>3</v>
      </c>
      <c r="AT34" s="2" t="n">
        <v>3</v>
      </c>
      <c r="AU34" s="2" t="n">
        <v>4</v>
      </c>
      <c r="AV34" s="2" t="n">
        <v>0</v>
      </c>
      <c r="AW34" s="2" t="n">
        <v>0</v>
      </c>
      <c r="AX34" s="2" t="n">
        <v>0</v>
      </c>
      <c r="AY34" s="2" t="n">
        <v>1</v>
      </c>
      <c r="AZ34" s="2" t="n">
        <v>0</v>
      </c>
      <c r="BA34" s="2" t="s">
        <v>114</v>
      </c>
      <c r="BB34" s="2" t="s">
        <v>135</v>
      </c>
      <c r="BC34" s="2" t="n">
        <v>4</v>
      </c>
      <c r="BD34" s="2" t="n">
        <v>3</v>
      </c>
      <c r="BE34" s="2" t="n">
        <v>4</v>
      </c>
      <c r="BF34" s="2" t="n">
        <v>2</v>
      </c>
      <c r="BG34" s="2" t="n">
        <v>2</v>
      </c>
      <c r="BH34" s="2" t="n">
        <v>3</v>
      </c>
      <c r="BI34" s="2" t="n">
        <v>5</v>
      </c>
      <c r="BJ34" s="2" t="n">
        <v>5</v>
      </c>
      <c r="BK34" s="2" t="n">
        <v>1</v>
      </c>
      <c r="BL34" s="2" t="n">
        <v>3</v>
      </c>
      <c r="BM34" s="2" t="n">
        <v>1</v>
      </c>
      <c r="BN34" s="2" t="n">
        <v>5</v>
      </c>
      <c r="BO34" s="2" t="n">
        <v>5</v>
      </c>
      <c r="BP34" s="2" t="n">
        <v>3</v>
      </c>
      <c r="BQ34" s="2" t="n">
        <v>4</v>
      </c>
      <c r="BR34" s="2" t="n">
        <v>4</v>
      </c>
      <c r="BS34" s="2" t="n">
        <v>1</v>
      </c>
      <c r="BT34" s="2" t="n">
        <v>2</v>
      </c>
      <c r="BU34" s="2" t="n">
        <v>4</v>
      </c>
      <c r="BV34" s="2" t="n">
        <v>5</v>
      </c>
      <c r="BW34" s="2" t="n">
        <v>5</v>
      </c>
      <c r="BX34" s="2" t="n">
        <v>4</v>
      </c>
      <c r="BY34" s="2" t="n">
        <v>4</v>
      </c>
      <c r="BZ34" s="2" t="n">
        <v>2</v>
      </c>
      <c r="CA34" s="2" t="s">
        <v>116</v>
      </c>
      <c r="CB34" s="2" t="n">
        <v>0</v>
      </c>
      <c r="CC34" s="2" t="n">
        <v>1</v>
      </c>
      <c r="CD34" s="2" t="n">
        <v>1</v>
      </c>
      <c r="CE34" s="2" t="n">
        <v>0</v>
      </c>
      <c r="CF34" s="2" t="s">
        <v>153</v>
      </c>
      <c r="CG34" s="2" t="n">
        <v>2</v>
      </c>
      <c r="CH34" s="2" t="n">
        <v>5</v>
      </c>
      <c r="CI34" s="2" t="n">
        <v>1</v>
      </c>
      <c r="CJ34" s="2" t="n">
        <v>1</v>
      </c>
      <c r="CK34" s="2" t="s">
        <v>167</v>
      </c>
      <c r="CL34" s="2" t="s">
        <v>139</v>
      </c>
      <c r="CM34" s="2" t="s">
        <v>168</v>
      </c>
      <c r="CN34" s="2" t="s">
        <v>121</v>
      </c>
      <c r="CO34" s="2" t="s">
        <v>122</v>
      </c>
      <c r="CP34" s="2"/>
      <c r="CQ34" s="2" t="s">
        <v>121</v>
      </c>
      <c r="CR34" s="2" t="s">
        <v>141</v>
      </c>
      <c r="CS34" s="2"/>
      <c r="CT34" s="2"/>
    </row>
    <row r="35" customFormat="false" ht="15" hidden="false" customHeight="false" outlineLevel="0" collapsed="false">
      <c r="A35" s="2" t="n">
        <v>34</v>
      </c>
      <c r="B35" s="2" t="s">
        <v>292</v>
      </c>
      <c r="C35" s="2" t="s">
        <v>231</v>
      </c>
      <c r="D35" s="2" t="s">
        <v>291</v>
      </c>
      <c r="E35" s="2" t="s">
        <v>158</v>
      </c>
      <c r="F35" s="2" t="s">
        <v>102</v>
      </c>
      <c r="G35" s="2" t="s">
        <v>180</v>
      </c>
      <c r="H35" s="2" t="s">
        <v>159</v>
      </c>
      <c r="I35" s="2" t="s">
        <v>127</v>
      </c>
      <c r="J35" s="2" t="s">
        <v>146</v>
      </c>
      <c r="K35" s="2"/>
      <c r="L35" s="2" t="s">
        <v>147</v>
      </c>
      <c r="M35" s="2" t="s">
        <v>161</v>
      </c>
      <c r="N35" s="2" t="s">
        <v>108</v>
      </c>
      <c r="O35" s="2"/>
      <c r="P35" s="2" t="s">
        <v>149</v>
      </c>
      <c r="Q35" s="2" t="s">
        <v>148</v>
      </c>
      <c r="R35" s="2" t="s">
        <v>109</v>
      </c>
      <c r="S35" s="2" t="s">
        <v>111</v>
      </c>
      <c r="T35" s="2" t="n">
        <v>1</v>
      </c>
      <c r="U35" s="2" t="n">
        <v>0</v>
      </c>
      <c r="V35" s="2" t="n">
        <v>1</v>
      </c>
      <c r="W35" s="2" t="n">
        <v>0</v>
      </c>
      <c r="X35" s="2" t="s">
        <v>173</v>
      </c>
      <c r="Y35" s="2"/>
      <c r="Z35" s="2"/>
      <c r="AA35" s="2"/>
      <c r="AB35" s="2" t="n">
        <v>2</v>
      </c>
      <c r="AC35" s="2" t="n">
        <v>1</v>
      </c>
      <c r="AD35" s="2" t="n">
        <v>5</v>
      </c>
      <c r="AE35" s="2" t="n">
        <v>3</v>
      </c>
      <c r="AF35" s="2" t="n">
        <v>5</v>
      </c>
      <c r="AG35" s="2" t="n">
        <v>4</v>
      </c>
      <c r="AH35" s="2" t="n">
        <v>0</v>
      </c>
      <c r="AI35" s="2" t="n">
        <v>0</v>
      </c>
      <c r="AJ35" s="2" t="n">
        <v>1</v>
      </c>
      <c r="AK35" s="2" t="n">
        <v>0</v>
      </c>
      <c r="AL35" s="2" t="n">
        <v>0</v>
      </c>
      <c r="AM35" s="2" t="n">
        <v>0</v>
      </c>
      <c r="AN35" s="2" t="s">
        <v>113</v>
      </c>
      <c r="AO35" s="2" t="n">
        <v>3</v>
      </c>
      <c r="AP35" s="2" t="n">
        <v>3</v>
      </c>
      <c r="AQ35" s="2" t="n">
        <v>5</v>
      </c>
      <c r="AR35" s="2" t="n">
        <v>3</v>
      </c>
      <c r="AS35" s="2" t="n">
        <v>2</v>
      </c>
      <c r="AT35" s="2" t="n">
        <v>5</v>
      </c>
      <c r="AU35" s="2" t="n">
        <v>3</v>
      </c>
      <c r="AV35" s="2" t="n">
        <v>0</v>
      </c>
      <c r="AW35" s="2" t="n">
        <v>0</v>
      </c>
      <c r="AX35" s="2" t="n">
        <v>0</v>
      </c>
      <c r="AY35" s="2" t="n">
        <v>1</v>
      </c>
      <c r="AZ35" s="2" t="n">
        <v>0</v>
      </c>
      <c r="BA35" s="2" t="s">
        <v>114</v>
      </c>
      <c r="BB35" s="2" t="s">
        <v>217</v>
      </c>
      <c r="BC35" s="2" t="n">
        <v>4</v>
      </c>
      <c r="BD35" s="2" t="n">
        <v>2</v>
      </c>
      <c r="BE35" s="2" t="n">
        <v>3</v>
      </c>
      <c r="BF35" s="2" t="n">
        <v>2</v>
      </c>
      <c r="BG35" s="2" t="n">
        <v>3</v>
      </c>
      <c r="BH35" s="2" t="n">
        <v>2</v>
      </c>
      <c r="BI35" s="2" t="n">
        <v>2</v>
      </c>
      <c r="BJ35" s="2" t="n">
        <v>3</v>
      </c>
      <c r="BK35" s="2" t="n">
        <v>4</v>
      </c>
      <c r="BL35" s="2" t="n">
        <v>2</v>
      </c>
      <c r="BM35" s="2" t="n">
        <v>3</v>
      </c>
      <c r="BN35" s="2" t="n">
        <v>4</v>
      </c>
      <c r="BO35" s="2" t="n">
        <v>1</v>
      </c>
      <c r="BP35" s="2" t="n">
        <v>4</v>
      </c>
      <c r="BQ35" s="2" t="n">
        <v>4</v>
      </c>
      <c r="BR35" s="2" t="n">
        <v>5</v>
      </c>
      <c r="BS35" s="2"/>
      <c r="BT35" s="2" t="n">
        <v>3</v>
      </c>
      <c r="BU35" s="2" t="n">
        <v>4</v>
      </c>
      <c r="BV35" s="2" t="n">
        <v>5</v>
      </c>
      <c r="BW35" s="2" t="n">
        <v>5</v>
      </c>
      <c r="BX35" s="2" t="n">
        <v>2</v>
      </c>
      <c r="BY35" s="2" t="n">
        <v>2</v>
      </c>
      <c r="BZ35" s="2" t="n">
        <v>4</v>
      </c>
      <c r="CA35" s="2" t="s">
        <v>116</v>
      </c>
      <c r="CB35" s="2" t="n">
        <v>1</v>
      </c>
      <c r="CC35" s="2" t="n">
        <v>0</v>
      </c>
      <c r="CD35" s="2" t="n">
        <v>0</v>
      </c>
      <c r="CE35" s="2" t="n">
        <v>0</v>
      </c>
      <c r="CF35" s="2" t="s">
        <v>229</v>
      </c>
      <c r="CG35" s="2" t="n">
        <v>2</v>
      </c>
      <c r="CH35" s="2" t="n">
        <v>5</v>
      </c>
      <c r="CI35" s="2" t="n">
        <v>5</v>
      </c>
      <c r="CJ35" s="2" t="n">
        <v>2</v>
      </c>
      <c r="CK35" s="2" t="s">
        <v>138</v>
      </c>
      <c r="CL35" s="2" t="s">
        <v>154</v>
      </c>
      <c r="CM35" s="2" t="s">
        <v>140</v>
      </c>
      <c r="CN35" s="2"/>
      <c r="CO35" s="2"/>
      <c r="CP35" s="2" t="s">
        <v>122</v>
      </c>
      <c r="CQ35" s="2" t="s">
        <v>121</v>
      </c>
      <c r="CR35" s="2" t="s">
        <v>141</v>
      </c>
      <c r="CS35" s="2"/>
      <c r="CT35" s="2"/>
    </row>
    <row r="36" customFormat="false" ht="15" hidden="false" customHeight="false" outlineLevel="0" collapsed="false">
      <c r="A36" s="2" t="n">
        <v>35</v>
      </c>
      <c r="B36" s="2" t="s">
        <v>293</v>
      </c>
      <c r="C36" s="2" t="s">
        <v>99</v>
      </c>
      <c r="D36" s="2" t="s">
        <v>208</v>
      </c>
      <c r="E36" s="2" t="s">
        <v>193</v>
      </c>
      <c r="F36" s="2" t="s">
        <v>179</v>
      </c>
      <c r="G36" s="2" t="s">
        <v>103</v>
      </c>
      <c r="H36" s="2" t="s">
        <v>104</v>
      </c>
      <c r="I36" s="2" t="s">
        <v>105</v>
      </c>
      <c r="J36" s="2" t="s">
        <v>128</v>
      </c>
      <c r="K36" s="2"/>
      <c r="L36" s="2" t="s">
        <v>129</v>
      </c>
      <c r="M36" s="2" t="s">
        <v>130</v>
      </c>
      <c r="N36" s="2" t="s">
        <v>183</v>
      </c>
      <c r="O36" s="2"/>
      <c r="P36" s="2" t="s">
        <v>149</v>
      </c>
      <c r="Q36" s="2" t="s">
        <v>110</v>
      </c>
      <c r="R36" s="2" t="s">
        <v>109</v>
      </c>
      <c r="S36" s="2" t="s">
        <v>232</v>
      </c>
      <c r="T36" s="2" t="n">
        <v>0</v>
      </c>
      <c r="U36" s="2" t="n">
        <v>1</v>
      </c>
      <c r="V36" s="2" t="n">
        <v>0</v>
      </c>
      <c r="W36" s="2" t="n">
        <v>0</v>
      </c>
      <c r="X36" s="2" t="s">
        <v>194</v>
      </c>
      <c r="Y36" s="2" t="n">
        <v>3</v>
      </c>
      <c r="Z36" s="2" t="n">
        <v>3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n">
        <v>4</v>
      </c>
      <c r="AG36" s="2" t="n">
        <v>3</v>
      </c>
      <c r="AH36" s="2" t="n">
        <v>0</v>
      </c>
      <c r="AI36" s="2" t="n">
        <v>0</v>
      </c>
      <c r="AJ36" s="2" t="n">
        <v>0</v>
      </c>
      <c r="AK36" s="2" t="n">
        <v>1</v>
      </c>
      <c r="AL36" s="2" t="n">
        <v>0</v>
      </c>
      <c r="AM36" s="2" t="n">
        <v>0</v>
      </c>
      <c r="AN36" s="2" t="s">
        <v>202</v>
      </c>
      <c r="AO36" s="2" t="n">
        <v>1</v>
      </c>
      <c r="AP36" s="2" t="n">
        <v>3</v>
      </c>
      <c r="AQ36" s="2" t="n">
        <v>5</v>
      </c>
      <c r="AR36" s="2" t="n">
        <v>4</v>
      </c>
      <c r="AS36" s="2" t="n">
        <v>1</v>
      </c>
      <c r="AT36" s="2" t="n">
        <v>4</v>
      </c>
      <c r="AU36" s="2" t="n">
        <v>4</v>
      </c>
      <c r="AV36" s="2" t="n">
        <v>1</v>
      </c>
      <c r="AW36" s="2" t="n">
        <v>0</v>
      </c>
      <c r="AX36" s="2" t="n">
        <v>0</v>
      </c>
      <c r="AY36" s="2" t="n">
        <v>0</v>
      </c>
      <c r="AZ36" s="2" t="n">
        <v>1</v>
      </c>
      <c r="BA36" s="2" t="s">
        <v>152</v>
      </c>
      <c r="BB36" s="2" t="s">
        <v>115</v>
      </c>
      <c r="BC36" s="2" t="n">
        <v>4</v>
      </c>
      <c r="BD36" s="2" t="n">
        <v>3</v>
      </c>
      <c r="BE36" s="2" t="n">
        <v>3</v>
      </c>
      <c r="BF36" s="2" t="n">
        <v>1</v>
      </c>
      <c r="BG36" s="2" t="n">
        <v>3</v>
      </c>
      <c r="BH36" s="2" t="n">
        <v>4</v>
      </c>
      <c r="BI36" s="2" t="n">
        <v>5</v>
      </c>
      <c r="BJ36" s="2" t="n">
        <v>3</v>
      </c>
      <c r="BK36" s="2" t="n">
        <v>3</v>
      </c>
      <c r="BL36" s="2" t="n">
        <v>2</v>
      </c>
      <c r="BM36" s="2" t="n">
        <v>2</v>
      </c>
      <c r="BN36" s="2"/>
      <c r="BO36" s="2" t="n">
        <v>2</v>
      </c>
      <c r="BP36" s="2" t="n">
        <v>5</v>
      </c>
      <c r="BQ36" s="2" t="n">
        <v>1</v>
      </c>
      <c r="BR36" s="2" t="n">
        <v>4</v>
      </c>
      <c r="BS36" s="2" t="n">
        <v>3</v>
      </c>
      <c r="BT36" s="2" t="n">
        <v>4</v>
      </c>
      <c r="BU36" s="2" t="n">
        <v>4</v>
      </c>
      <c r="BV36" s="2" t="n">
        <v>3</v>
      </c>
      <c r="BW36" s="2" t="n">
        <v>2</v>
      </c>
      <c r="BX36" s="2" t="n">
        <v>5</v>
      </c>
      <c r="BY36" s="2" t="n">
        <v>4</v>
      </c>
      <c r="BZ36" s="2" t="n">
        <v>4</v>
      </c>
      <c r="CA36" s="2" t="s">
        <v>189</v>
      </c>
      <c r="CB36" s="2" t="n">
        <v>0</v>
      </c>
      <c r="CC36" s="2" t="n">
        <v>0</v>
      </c>
      <c r="CD36" s="2" t="n">
        <v>1</v>
      </c>
      <c r="CE36" s="2" t="n">
        <v>0</v>
      </c>
      <c r="CF36" s="2" t="s">
        <v>137</v>
      </c>
      <c r="CG36" s="2" t="n">
        <v>4</v>
      </c>
      <c r="CH36" s="2" t="n">
        <v>2</v>
      </c>
      <c r="CI36" s="2" t="n">
        <v>1</v>
      </c>
      <c r="CJ36" s="2" t="n">
        <v>2</v>
      </c>
      <c r="CK36" s="2" t="s">
        <v>167</v>
      </c>
      <c r="CL36" s="2" t="s">
        <v>119</v>
      </c>
      <c r="CM36" s="2" t="s">
        <v>205</v>
      </c>
      <c r="CN36" s="2" t="s">
        <v>121</v>
      </c>
      <c r="CO36" s="2" t="s">
        <v>121</v>
      </c>
      <c r="CP36" s="2" t="s">
        <v>122</v>
      </c>
      <c r="CQ36" s="2"/>
      <c r="CR36" s="2" t="s">
        <v>141</v>
      </c>
      <c r="CS36" s="2"/>
      <c r="CT36" s="2"/>
    </row>
    <row r="37" customFormat="false" ht="15" hidden="false" customHeight="false" outlineLevel="0" collapsed="false">
      <c r="A37" s="2" t="n">
        <v>36</v>
      </c>
      <c r="B37" s="2" t="s">
        <v>294</v>
      </c>
      <c r="C37" s="2" t="s">
        <v>295</v>
      </c>
      <c r="D37" s="2" t="s">
        <v>157</v>
      </c>
      <c r="E37" s="2" t="s">
        <v>101</v>
      </c>
      <c r="F37" s="2" t="s">
        <v>179</v>
      </c>
      <c r="G37" s="2" t="s">
        <v>103</v>
      </c>
      <c r="H37" s="2" t="s">
        <v>104</v>
      </c>
      <c r="I37" s="2" t="s">
        <v>160</v>
      </c>
      <c r="J37" s="2" t="s">
        <v>146</v>
      </c>
      <c r="K37" s="2"/>
      <c r="L37" s="2" t="s">
        <v>129</v>
      </c>
      <c r="M37" s="2" t="s">
        <v>107</v>
      </c>
      <c r="N37" s="2" t="s">
        <v>167</v>
      </c>
      <c r="O37" s="2"/>
      <c r="P37" s="2" t="s">
        <v>109</v>
      </c>
      <c r="Q37" s="2" t="s">
        <v>131</v>
      </c>
      <c r="R37" s="2" t="s">
        <v>149</v>
      </c>
      <c r="S37" s="2" t="s">
        <v>282</v>
      </c>
      <c r="T37" s="2" t="n">
        <v>1</v>
      </c>
      <c r="U37" s="2" t="n">
        <v>1</v>
      </c>
      <c r="V37" s="2" t="n">
        <v>0</v>
      </c>
      <c r="W37" s="2" t="n">
        <v>0</v>
      </c>
      <c r="X37" s="2" t="s">
        <v>222</v>
      </c>
      <c r="Y37" s="2"/>
      <c r="Z37" s="2"/>
      <c r="AA37" s="2"/>
      <c r="AB37" s="2" t="n">
        <v>2</v>
      </c>
      <c r="AC37" s="2" t="n">
        <v>2</v>
      </c>
      <c r="AD37" s="2" t="n">
        <v>4</v>
      </c>
      <c r="AE37" s="2" t="n">
        <v>4</v>
      </c>
      <c r="AF37" s="2" t="n">
        <v>3</v>
      </c>
      <c r="AG37" s="2" t="n">
        <v>3</v>
      </c>
      <c r="AH37" s="2" t="n">
        <v>0</v>
      </c>
      <c r="AI37" s="2" t="n">
        <v>0</v>
      </c>
      <c r="AJ37" s="2" t="n">
        <v>1</v>
      </c>
      <c r="AK37" s="2" t="n">
        <v>0</v>
      </c>
      <c r="AL37" s="2" t="n">
        <v>0</v>
      </c>
      <c r="AM37" s="2" t="n">
        <v>0</v>
      </c>
      <c r="AN37" s="2" t="s">
        <v>113</v>
      </c>
      <c r="AO37" s="2" t="n">
        <v>2</v>
      </c>
      <c r="AP37" s="2" t="n">
        <v>5</v>
      </c>
      <c r="AQ37" s="2" t="n">
        <v>2</v>
      </c>
      <c r="AR37" s="2" t="n">
        <v>1</v>
      </c>
      <c r="AS37" s="2" t="n">
        <v>4</v>
      </c>
      <c r="AT37" s="2" t="n">
        <v>5</v>
      </c>
      <c r="AU37" s="2" t="n">
        <v>3</v>
      </c>
      <c r="AV37" s="2" t="n">
        <v>0</v>
      </c>
      <c r="AW37" s="2" t="n">
        <v>1</v>
      </c>
      <c r="AX37" s="2" t="n">
        <v>0</v>
      </c>
      <c r="AY37" s="2" t="n">
        <v>1</v>
      </c>
      <c r="AZ37" s="2" t="n">
        <v>0</v>
      </c>
      <c r="BA37" s="2" t="s">
        <v>289</v>
      </c>
      <c r="BB37" s="2" t="s">
        <v>135</v>
      </c>
      <c r="BC37" s="2" t="n">
        <v>5</v>
      </c>
      <c r="BD37" s="2" t="n">
        <v>5</v>
      </c>
      <c r="BE37" s="2"/>
      <c r="BF37" s="2" t="n">
        <v>5</v>
      </c>
      <c r="BG37" s="2" t="n">
        <v>5</v>
      </c>
      <c r="BH37" s="2" t="n">
        <v>4</v>
      </c>
      <c r="BI37" s="2" t="n">
        <v>3</v>
      </c>
      <c r="BJ37" s="2" t="n">
        <v>4</v>
      </c>
      <c r="BK37" s="2" t="n">
        <v>5</v>
      </c>
      <c r="BL37" s="2" t="n">
        <v>5</v>
      </c>
      <c r="BM37" s="2" t="n">
        <v>5</v>
      </c>
      <c r="BN37" s="2" t="n">
        <v>5</v>
      </c>
      <c r="BO37" s="2" t="n">
        <v>2</v>
      </c>
      <c r="BP37" s="2" t="n">
        <v>5</v>
      </c>
      <c r="BQ37" s="2" t="n">
        <v>4</v>
      </c>
      <c r="BR37" s="2" t="n">
        <v>5</v>
      </c>
      <c r="BS37" s="2" t="n">
        <v>4</v>
      </c>
      <c r="BT37" s="2" t="n">
        <v>4</v>
      </c>
      <c r="BU37" s="2" t="n">
        <v>2</v>
      </c>
      <c r="BV37" s="2" t="n">
        <v>4</v>
      </c>
      <c r="BW37" s="2" t="n">
        <v>2</v>
      </c>
      <c r="BX37" s="2" t="n">
        <v>3</v>
      </c>
      <c r="BY37" s="2" t="n">
        <v>4</v>
      </c>
      <c r="BZ37" s="2" t="n">
        <v>2</v>
      </c>
      <c r="CA37" s="2" t="s">
        <v>213</v>
      </c>
      <c r="CB37" s="2" t="n">
        <v>1</v>
      </c>
      <c r="CC37" s="2" t="n">
        <v>0</v>
      </c>
      <c r="CD37" s="2" t="n">
        <v>0</v>
      </c>
      <c r="CE37" s="2" t="n">
        <v>1</v>
      </c>
      <c r="CF37" s="2" t="s">
        <v>218</v>
      </c>
      <c r="CG37" s="2" t="n">
        <v>3</v>
      </c>
      <c r="CH37" s="2" t="n">
        <v>3</v>
      </c>
      <c r="CI37" s="2" t="n">
        <v>4</v>
      </c>
      <c r="CJ37" s="2" t="n">
        <v>3</v>
      </c>
      <c r="CK37" s="2" t="s">
        <v>167</v>
      </c>
      <c r="CL37" s="2" t="s">
        <v>139</v>
      </c>
      <c r="CM37" s="2" t="s">
        <v>120</v>
      </c>
      <c r="CN37" s="2" t="s">
        <v>121</v>
      </c>
      <c r="CO37" s="2" t="s">
        <v>121</v>
      </c>
      <c r="CP37" s="2" t="s">
        <v>122</v>
      </c>
      <c r="CQ37" s="2"/>
      <c r="CR37" s="2" t="s">
        <v>141</v>
      </c>
      <c r="CS37" s="2"/>
      <c r="CT37" s="2"/>
    </row>
    <row r="38" customFormat="false" ht="15" hidden="false" customHeight="false" outlineLevel="0" collapsed="false">
      <c r="A38" s="2" t="n">
        <v>37</v>
      </c>
      <c r="B38" s="2" t="s">
        <v>296</v>
      </c>
      <c r="C38" s="2" t="s">
        <v>271</v>
      </c>
      <c r="D38" s="2" t="s">
        <v>227</v>
      </c>
      <c r="E38" s="2" t="s">
        <v>144</v>
      </c>
      <c r="F38" s="2" t="s">
        <v>102</v>
      </c>
      <c r="G38" s="2" t="s">
        <v>180</v>
      </c>
      <c r="H38" s="2" t="s">
        <v>126</v>
      </c>
      <c r="I38" s="2" t="s">
        <v>127</v>
      </c>
      <c r="J38" s="2" t="s">
        <v>128</v>
      </c>
      <c r="K38" s="2"/>
      <c r="L38" s="2" t="s">
        <v>172</v>
      </c>
      <c r="M38" s="2" t="s">
        <v>107</v>
      </c>
      <c r="N38" s="2" t="s">
        <v>209</v>
      </c>
      <c r="O38" s="2"/>
      <c r="P38" s="2" t="s">
        <v>109</v>
      </c>
      <c r="Q38" s="2" t="s">
        <v>184</v>
      </c>
      <c r="R38" s="2" t="s">
        <v>149</v>
      </c>
      <c r="S38" s="2" t="s">
        <v>111</v>
      </c>
      <c r="T38" s="2" t="n">
        <v>1</v>
      </c>
      <c r="U38" s="2" t="n">
        <v>0</v>
      </c>
      <c r="V38" s="2" t="n">
        <v>0</v>
      </c>
      <c r="W38" s="2" t="n">
        <v>0</v>
      </c>
      <c r="X38" s="2" t="s">
        <v>255</v>
      </c>
      <c r="Y38" s="2" t="n">
        <v>2</v>
      </c>
      <c r="Z38" s="2" t="n">
        <v>3</v>
      </c>
      <c r="AA38" s="2" t="n">
        <v>4</v>
      </c>
      <c r="AB38" s="2" t="n">
        <v>4</v>
      </c>
      <c r="AC38" s="2" t="n">
        <v>5</v>
      </c>
      <c r="AD38" s="2" t="n">
        <v>2</v>
      </c>
      <c r="AE38" s="2" t="n">
        <v>2</v>
      </c>
      <c r="AF38" s="2" t="n">
        <v>2</v>
      </c>
      <c r="AG38" s="2" t="n">
        <v>1</v>
      </c>
      <c r="AH38" s="2" t="n">
        <v>1</v>
      </c>
      <c r="AI38" s="2" t="n">
        <v>0</v>
      </c>
      <c r="AJ38" s="2" t="n">
        <v>1</v>
      </c>
      <c r="AK38" s="2" t="n">
        <v>0</v>
      </c>
      <c r="AL38" s="2" t="n">
        <v>0</v>
      </c>
      <c r="AM38" s="2" t="n">
        <v>0</v>
      </c>
      <c r="AN38" s="2" t="s">
        <v>297</v>
      </c>
      <c r="AO38" s="2" t="n">
        <v>4</v>
      </c>
      <c r="AP38" s="2" t="n">
        <v>4</v>
      </c>
      <c r="AQ38" s="2" t="n">
        <v>3</v>
      </c>
      <c r="AR38" s="2" t="n">
        <v>1</v>
      </c>
      <c r="AS38" s="2" t="n">
        <v>5</v>
      </c>
      <c r="AT38" s="2" t="n">
        <v>5</v>
      </c>
      <c r="AU38" s="2" t="n">
        <v>4</v>
      </c>
      <c r="AV38" s="2" t="n">
        <v>0</v>
      </c>
      <c r="AW38" s="2" t="n">
        <v>0</v>
      </c>
      <c r="AX38" s="2" t="n">
        <v>0</v>
      </c>
      <c r="AY38" s="2" t="n">
        <v>1</v>
      </c>
      <c r="AZ38" s="2" t="n">
        <v>0</v>
      </c>
      <c r="BA38" s="2" t="s">
        <v>114</v>
      </c>
      <c r="BB38" s="2" t="s">
        <v>135</v>
      </c>
      <c r="BC38" s="2" t="n">
        <v>5</v>
      </c>
      <c r="BD38" s="2" t="n">
        <v>3</v>
      </c>
      <c r="BE38" s="2" t="n">
        <v>4</v>
      </c>
      <c r="BF38" s="2" t="n">
        <v>3</v>
      </c>
      <c r="BG38" s="2" t="n">
        <v>4</v>
      </c>
      <c r="BH38" s="2" t="n">
        <v>5</v>
      </c>
      <c r="BI38" s="2" t="n">
        <v>5</v>
      </c>
      <c r="BJ38" s="2"/>
      <c r="BK38" s="2" t="n">
        <v>2</v>
      </c>
      <c r="BL38" s="2" t="n">
        <v>5</v>
      </c>
      <c r="BM38" s="2" t="n">
        <v>5</v>
      </c>
      <c r="BN38" s="2" t="n">
        <v>3</v>
      </c>
      <c r="BO38" s="2" t="n">
        <v>2</v>
      </c>
      <c r="BP38" s="2" t="n">
        <v>5</v>
      </c>
      <c r="BQ38" s="2" t="n">
        <v>4</v>
      </c>
      <c r="BR38" s="2" t="n">
        <v>1</v>
      </c>
      <c r="BS38" s="2" t="n">
        <v>3</v>
      </c>
      <c r="BT38" s="2" t="n">
        <v>5</v>
      </c>
      <c r="BU38" s="2" t="n">
        <v>3</v>
      </c>
      <c r="BV38" s="2" t="n">
        <v>4</v>
      </c>
      <c r="BW38" s="2" t="n">
        <v>4</v>
      </c>
      <c r="BX38" s="2" t="n">
        <v>4</v>
      </c>
      <c r="BY38" s="2" t="n">
        <v>4</v>
      </c>
      <c r="BZ38" s="2" t="n">
        <v>3</v>
      </c>
      <c r="CA38" s="2" t="s">
        <v>189</v>
      </c>
      <c r="CB38" s="2" t="n">
        <v>0</v>
      </c>
      <c r="CC38" s="2" t="n">
        <v>0</v>
      </c>
      <c r="CD38" s="2" t="n">
        <v>1</v>
      </c>
      <c r="CE38" s="2" t="n">
        <v>1</v>
      </c>
      <c r="CF38" s="2" t="s">
        <v>298</v>
      </c>
      <c r="CG38" s="2" t="n">
        <v>4</v>
      </c>
      <c r="CH38" s="2" t="n">
        <v>5</v>
      </c>
      <c r="CI38" s="2" t="n">
        <v>4</v>
      </c>
      <c r="CJ38" s="2" t="n">
        <v>4</v>
      </c>
      <c r="CK38" s="2" t="s">
        <v>176</v>
      </c>
      <c r="CL38" s="2" t="s">
        <v>198</v>
      </c>
      <c r="CM38" s="2" t="s">
        <v>120</v>
      </c>
      <c r="CN38" s="2"/>
      <c r="CO38" s="2" t="s">
        <v>121</v>
      </c>
      <c r="CP38" s="2" t="s">
        <v>121</v>
      </c>
      <c r="CQ38" s="2"/>
      <c r="CR38" s="2" t="s">
        <v>141</v>
      </c>
      <c r="CS38" s="2"/>
      <c r="CT38" s="2"/>
    </row>
    <row r="39" customFormat="false" ht="15" hidden="false" customHeight="false" outlineLevel="0" collapsed="false">
      <c r="A39" s="2" t="n">
        <v>38</v>
      </c>
      <c r="B39" s="2" t="s">
        <v>299</v>
      </c>
      <c r="C39" s="2" t="s">
        <v>300</v>
      </c>
      <c r="D39" s="2" t="s">
        <v>208</v>
      </c>
      <c r="E39" s="2" t="s">
        <v>158</v>
      </c>
      <c r="F39" s="2" t="s">
        <v>102</v>
      </c>
      <c r="G39" s="2" t="s">
        <v>103</v>
      </c>
      <c r="H39" s="2" t="s">
        <v>104</v>
      </c>
      <c r="I39" s="2" t="s">
        <v>127</v>
      </c>
      <c r="J39" s="2" t="s">
        <v>128</v>
      </c>
      <c r="K39" s="2"/>
      <c r="L39" s="2" t="s">
        <v>172</v>
      </c>
      <c r="M39" s="2" t="s">
        <v>161</v>
      </c>
      <c r="N39" s="2" t="s">
        <v>209</v>
      </c>
      <c r="O39" s="2"/>
      <c r="P39" s="2" t="s">
        <v>109</v>
      </c>
      <c r="Q39" s="2"/>
      <c r="R39" s="2" t="s">
        <v>149</v>
      </c>
      <c r="S39" s="2" t="s">
        <v>185</v>
      </c>
      <c r="T39" s="2" t="n">
        <v>0</v>
      </c>
      <c r="U39" s="2" t="n">
        <v>1</v>
      </c>
      <c r="V39" s="2" t="n">
        <v>1</v>
      </c>
      <c r="W39" s="2" t="n">
        <v>0</v>
      </c>
      <c r="X39" s="2" t="s">
        <v>233</v>
      </c>
      <c r="Y39" s="2" t="n">
        <v>1</v>
      </c>
      <c r="Z39" s="2" t="n">
        <v>2</v>
      </c>
      <c r="AA39" s="2" t="n">
        <v>2</v>
      </c>
      <c r="AB39" s="2" t="n">
        <v>3</v>
      </c>
      <c r="AC39" s="2" t="n">
        <v>3</v>
      </c>
      <c r="AD39" s="2" t="n">
        <v>5</v>
      </c>
      <c r="AE39" s="2" t="n">
        <v>4</v>
      </c>
      <c r="AF39" s="2" t="n">
        <v>1</v>
      </c>
      <c r="AG39" s="2" t="n">
        <v>2</v>
      </c>
      <c r="AH39" s="2" t="n">
        <v>0</v>
      </c>
      <c r="AI39" s="2" t="n">
        <v>0</v>
      </c>
      <c r="AJ39" s="2" t="n">
        <v>1</v>
      </c>
      <c r="AK39" s="2" t="n">
        <v>1</v>
      </c>
      <c r="AL39" s="2" t="n">
        <v>0</v>
      </c>
      <c r="AM39" s="2" t="n">
        <v>0</v>
      </c>
      <c r="AN39" s="2" t="s">
        <v>301</v>
      </c>
      <c r="AO39" s="2" t="n">
        <v>4</v>
      </c>
      <c r="AP39" s="2" t="n">
        <v>1</v>
      </c>
      <c r="AQ39" s="2" t="n">
        <v>5</v>
      </c>
      <c r="AR39" s="2" t="n">
        <v>4</v>
      </c>
      <c r="AS39" s="2" t="n">
        <v>4</v>
      </c>
      <c r="AT39" s="2" t="n">
        <v>3</v>
      </c>
      <c r="AU39" s="2" t="n">
        <v>4</v>
      </c>
      <c r="AV39" s="2" t="n">
        <v>0</v>
      </c>
      <c r="AW39" s="2" t="n">
        <v>0</v>
      </c>
      <c r="AX39" s="2" t="n">
        <v>0</v>
      </c>
      <c r="AY39" s="2" t="n">
        <v>1</v>
      </c>
      <c r="AZ39" s="2" t="n">
        <v>1</v>
      </c>
      <c r="BA39" s="2" t="s">
        <v>302</v>
      </c>
      <c r="BB39" s="2" t="s">
        <v>217</v>
      </c>
      <c r="BC39" s="2" t="n">
        <v>1</v>
      </c>
      <c r="BD39" s="2" t="n">
        <v>2</v>
      </c>
      <c r="BE39" s="2" t="n">
        <v>4</v>
      </c>
      <c r="BF39" s="2" t="n">
        <v>4</v>
      </c>
      <c r="BG39" s="2" t="n">
        <v>3</v>
      </c>
      <c r="BH39" s="2" t="n">
        <v>3</v>
      </c>
      <c r="BI39" s="2" t="n">
        <v>3</v>
      </c>
      <c r="BJ39" s="2" t="n">
        <v>5</v>
      </c>
      <c r="BK39" s="2" t="n">
        <v>3</v>
      </c>
      <c r="BL39" s="2" t="n">
        <v>5</v>
      </c>
      <c r="BM39" s="2" t="n">
        <v>4</v>
      </c>
      <c r="BN39" s="2" t="n">
        <v>2</v>
      </c>
      <c r="BO39" s="2" t="n">
        <v>5</v>
      </c>
      <c r="BP39" s="2" t="n">
        <v>2</v>
      </c>
      <c r="BQ39" s="2" t="n">
        <v>2</v>
      </c>
      <c r="BR39" s="2" t="n">
        <v>3</v>
      </c>
      <c r="BS39" s="2"/>
      <c r="BT39" s="2" t="n">
        <v>3</v>
      </c>
      <c r="BU39" s="2" t="n">
        <v>5</v>
      </c>
      <c r="BV39" s="2" t="n">
        <v>1</v>
      </c>
      <c r="BW39" s="2" t="n">
        <v>3</v>
      </c>
      <c r="BX39" s="2" t="n">
        <v>3</v>
      </c>
      <c r="BY39" s="2" t="n">
        <v>4</v>
      </c>
      <c r="BZ39" s="2" t="n">
        <v>3</v>
      </c>
      <c r="CA39" s="2" t="s">
        <v>136</v>
      </c>
      <c r="CB39" s="2" t="n">
        <v>1</v>
      </c>
      <c r="CC39" s="2" t="n">
        <v>0</v>
      </c>
      <c r="CD39" s="2" t="n">
        <v>0</v>
      </c>
      <c r="CE39" s="2" t="n">
        <v>1</v>
      </c>
      <c r="CF39" s="2" t="s">
        <v>218</v>
      </c>
      <c r="CG39" s="2" t="n">
        <v>5</v>
      </c>
      <c r="CH39" s="2" t="n">
        <v>3</v>
      </c>
      <c r="CI39" s="2"/>
      <c r="CJ39" s="2" t="n">
        <v>4</v>
      </c>
      <c r="CK39" s="2" t="s">
        <v>167</v>
      </c>
      <c r="CL39" s="2" t="s">
        <v>139</v>
      </c>
      <c r="CM39" s="2" t="s">
        <v>140</v>
      </c>
      <c r="CN39" s="2"/>
      <c r="CO39" s="2"/>
      <c r="CP39" s="2" t="s">
        <v>122</v>
      </c>
      <c r="CQ39" s="2" t="s">
        <v>121</v>
      </c>
      <c r="CR39" s="2" t="s">
        <v>141</v>
      </c>
      <c r="CS39" s="2"/>
      <c r="CT39" s="2"/>
    </row>
    <row r="40" customFormat="false" ht="15" hidden="false" customHeight="false" outlineLevel="0" collapsed="false">
      <c r="A40" s="2" t="n">
        <v>39</v>
      </c>
      <c r="B40" s="2" t="s">
        <v>303</v>
      </c>
      <c r="C40" s="2" t="s">
        <v>265</v>
      </c>
      <c r="D40" s="2" t="s">
        <v>192</v>
      </c>
      <c r="E40" s="2" t="s">
        <v>144</v>
      </c>
      <c r="F40" s="2" t="s">
        <v>102</v>
      </c>
      <c r="G40" s="2" t="s">
        <v>103</v>
      </c>
      <c r="H40" s="2" t="s">
        <v>159</v>
      </c>
      <c r="I40" s="2" t="s">
        <v>127</v>
      </c>
      <c r="J40" s="2" t="s">
        <v>106</v>
      </c>
      <c r="K40" s="2"/>
      <c r="L40" s="2" t="s">
        <v>182</v>
      </c>
      <c r="M40" s="2" t="s">
        <v>221</v>
      </c>
      <c r="N40" s="2" t="s">
        <v>108</v>
      </c>
      <c r="O40" s="2"/>
      <c r="P40" s="2" t="s">
        <v>109</v>
      </c>
      <c r="Q40" s="2" t="s">
        <v>184</v>
      </c>
      <c r="R40" s="2" t="s">
        <v>109</v>
      </c>
      <c r="S40" s="2" t="s">
        <v>282</v>
      </c>
      <c r="T40" s="2" t="n">
        <v>1</v>
      </c>
      <c r="U40" s="2" t="n">
        <v>0</v>
      </c>
      <c r="V40" s="2" t="n">
        <v>0</v>
      </c>
      <c r="W40" s="2" t="n">
        <v>1</v>
      </c>
      <c r="X40" s="2" t="s">
        <v>236</v>
      </c>
      <c r="Y40" s="2"/>
      <c r="Z40" s="2"/>
      <c r="AA40" s="2"/>
      <c r="AB40" s="2" t="n">
        <v>3</v>
      </c>
      <c r="AC40" s="2" t="n">
        <v>4</v>
      </c>
      <c r="AD40" s="2" t="n">
        <v>4</v>
      </c>
      <c r="AE40" s="2" t="n">
        <v>2</v>
      </c>
      <c r="AF40" s="2" t="n">
        <v>2</v>
      </c>
      <c r="AG40" s="2" t="n">
        <v>4</v>
      </c>
      <c r="AH40" s="2" t="n">
        <v>0</v>
      </c>
      <c r="AI40" s="2" t="n">
        <v>0</v>
      </c>
      <c r="AJ40" s="2" t="n">
        <v>0</v>
      </c>
      <c r="AK40" s="2" t="n">
        <v>1</v>
      </c>
      <c r="AL40" s="2" t="n">
        <v>0</v>
      </c>
      <c r="AM40" s="2" t="n">
        <v>0</v>
      </c>
      <c r="AN40" s="2" t="s">
        <v>202</v>
      </c>
      <c r="AO40" s="2" t="n">
        <v>4</v>
      </c>
      <c r="AP40" s="2" t="n">
        <v>4</v>
      </c>
      <c r="AQ40" s="2" t="n">
        <v>2</v>
      </c>
      <c r="AR40" s="2" t="n">
        <v>1</v>
      </c>
      <c r="AS40" s="2" t="n">
        <v>3</v>
      </c>
      <c r="AT40" s="2" t="n">
        <v>4</v>
      </c>
      <c r="AU40" s="2" t="n">
        <v>4</v>
      </c>
      <c r="AV40" s="2" t="n">
        <v>0</v>
      </c>
      <c r="AW40" s="2" t="n">
        <v>1</v>
      </c>
      <c r="AX40" s="2" t="n">
        <v>0</v>
      </c>
      <c r="AY40" s="2" t="n">
        <v>0</v>
      </c>
      <c r="AZ40" s="2" t="n">
        <v>0</v>
      </c>
      <c r="BA40" s="2" t="s">
        <v>175</v>
      </c>
      <c r="BB40" s="2" t="s">
        <v>115</v>
      </c>
      <c r="BC40" s="2" t="n">
        <v>4</v>
      </c>
      <c r="BD40" s="2" t="n">
        <v>3</v>
      </c>
      <c r="BE40" s="2" t="n">
        <v>2</v>
      </c>
      <c r="BF40" s="2"/>
      <c r="BG40" s="2" t="n">
        <v>2</v>
      </c>
      <c r="BH40" s="2" t="n">
        <v>3</v>
      </c>
      <c r="BI40" s="2"/>
      <c r="BJ40" s="2" t="n">
        <v>3</v>
      </c>
      <c r="BK40" s="2" t="n">
        <v>3</v>
      </c>
      <c r="BL40" s="2" t="n">
        <v>2</v>
      </c>
      <c r="BM40" s="2" t="n">
        <v>2</v>
      </c>
      <c r="BN40" s="2" t="n">
        <v>3</v>
      </c>
      <c r="BO40" s="2" t="n">
        <v>3</v>
      </c>
      <c r="BP40" s="2" t="n">
        <v>5</v>
      </c>
      <c r="BQ40" s="2" t="n">
        <v>3</v>
      </c>
      <c r="BR40" s="2" t="n">
        <v>3</v>
      </c>
      <c r="BS40" s="2" t="n">
        <v>4</v>
      </c>
      <c r="BT40" s="2" t="n">
        <v>3</v>
      </c>
      <c r="BU40" s="2" t="n">
        <v>2</v>
      </c>
      <c r="BV40" s="2" t="n">
        <v>3</v>
      </c>
      <c r="BW40" s="2" t="n">
        <v>4</v>
      </c>
      <c r="BX40" s="2" t="n">
        <v>5</v>
      </c>
      <c r="BY40" s="2" t="n">
        <v>3</v>
      </c>
      <c r="BZ40" s="2" t="n">
        <v>1</v>
      </c>
      <c r="CA40" s="2" t="s">
        <v>115</v>
      </c>
      <c r="CB40" s="2" t="n">
        <v>0</v>
      </c>
      <c r="CC40" s="2" t="n">
        <v>0</v>
      </c>
      <c r="CD40" s="2" t="n">
        <v>1</v>
      </c>
      <c r="CE40" s="2" t="n">
        <v>0</v>
      </c>
      <c r="CF40" s="2" t="s">
        <v>137</v>
      </c>
      <c r="CG40" s="2" t="n">
        <v>3</v>
      </c>
      <c r="CH40" s="2" t="n">
        <v>3</v>
      </c>
      <c r="CI40" s="2" t="n">
        <v>2</v>
      </c>
      <c r="CJ40" s="2" t="n">
        <v>4</v>
      </c>
      <c r="CK40" s="2" t="s">
        <v>176</v>
      </c>
      <c r="CL40" s="2" t="s">
        <v>139</v>
      </c>
      <c r="CM40" s="2" t="s">
        <v>140</v>
      </c>
      <c r="CN40" s="2"/>
      <c r="CO40" s="2" t="s">
        <v>121</v>
      </c>
      <c r="CP40" s="2" t="s">
        <v>122</v>
      </c>
      <c r="CQ40" s="2" t="s">
        <v>122</v>
      </c>
      <c r="CR40" s="2"/>
      <c r="CS40" s="2"/>
      <c r="CT40" s="2"/>
    </row>
    <row r="41" customFormat="false" ht="15" hidden="false" customHeight="false" outlineLevel="0" collapsed="false">
      <c r="A41" s="2" t="n">
        <v>40</v>
      </c>
      <c r="B41" s="2" t="s">
        <v>304</v>
      </c>
      <c r="C41" s="2" t="s">
        <v>305</v>
      </c>
      <c r="D41" s="2" t="s">
        <v>192</v>
      </c>
      <c r="E41" s="2" t="s">
        <v>125</v>
      </c>
      <c r="F41" s="2" t="s">
        <v>179</v>
      </c>
      <c r="G41" s="2"/>
      <c r="H41" s="2" t="s">
        <v>104</v>
      </c>
      <c r="I41" s="2" t="s">
        <v>160</v>
      </c>
      <c r="J41" s="2" t="s">
        <v>146</v>
      </c>
      <c r="K41" s="2"/>
      <c r="L41" s="2" t="s">
        <v>172</v>
      </c>
      <c r="M41" s="2" t="s">
        <v>107</v>
      </c>
      <c r="N41" s="2" t="s">
        <v>167</v>
      </c>
      <c r="O41" s="2"/>
      <c r="P41" s="2" t="s">
        <v>149</v>
      </c>
      <c r="Q41" s="2" t="s">
        <v>184</v>
      </c>
      <c r="R41" s="2" t="s">
        <v>109</v>
      </c>
      <c r="S41" s="2" t="s">
        <v>111</v>
      </c>
      <c r="T41" s="2" t="n">
        <v>0</v>
      </c>
      <c r="U41" s="2" t="n">
        <v>0</v>
      </c>
      <c r="V41" s="2" t="n">
        <v>0</v>
      </c>
      <c r="W41" s="2" t="n">
        <v>1</v>
      </c>
      <c r="X41" s="2" t="s">
        <v>268</v>
      </c>
      <c r="Y41" s="2"/>
      <c r="Z41" s="2"/>
      <c r="AA41" s="2"/>
      <c r="AB41" s="2" t="n">
        <v>4</v>
      </c>
      <c r="AC41" s="2" t="n">
        <v>5</v>
      </c>
      <c r="AD41" s="2" t="n">
        <v>3</v>
      </c>
      <c r="AE41" s="2" t="n">
        <v>5</v>
      </c>
      <c r="AF41" s="2" t="n">
        <v>3</v>
      </c>
      <c r="AG41" s="2" t="n">
        <v>5</v>
      </c>
      <c r="AH41" s="2" t="n">
        <v>0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0</v>
      </c>
      <c r="AN41" s="2" t="s">
        <v>306</v>
      </c>
      <c r="AO41" s="2" t="n">
        <v>4</v>
      </c>
      <c r="AP41" s="2" t="n">
        <v>4</v>
      </c>
      <c r="AQ41" s="2" t="n">
        <v>3</v>
      </c>
      <c r="AR41" s="2" t="n">
        <v>5</v>
      </c>
      <c r="AS41" s="2" t="n">
        <v>3</v>
      </c>
      <c r="AT41" s="2" t="n">
        <v>5</v>
      </c>
      <c r="AU41" s="2" t="n">
        <v>3</v>
      </c>
      <c r="AV41" s="2" t="n">
        <v>0</v>
      </c>
      <c r="AW41" s="2" t="n">
        <v>0</v>
      </c>
      <c r="AX41" s="2" t="n">
        <v>1</v>
      </c>
      <c r="AY41" s="2" t="n">
        <v>0</v>
      </c>
      <c r="AZ41" s="2" t="n">
        <v>0</v>
      </c>
      <c r="BA41" s="2" t="s">
        <v>212</v>
      </c>
      <c r="BB41" s="2" t="s">
        <v>165</v>
      </c>
      <c r="BC41" s="2" t="n">
        <v>3</v>
      </c>
      <c r="BD41" s="2" t="n">
        <v>4</v>
      </c>
      <c r="BE41" s="2" t="n">
        <v>3</v>
      </c>
      <c r="BF41" s="2"/>
      <c r="BG41" s="2" t="n">
        <v>1</v>
      </c>
      <c r="BH41" s="2" t="n">
        <v>1</v>
      </c>
      <c r="BI41" s="2" t="n">
        <v>4</v>
      </c>
      <c r="BJ41" s="2" t="n">
        <v>2</v>
      </c>
      <c r="BK41" s="2" t="n">
        <v>4</v>
      </c>
      <c r="BL41" s="2" t="n">
        <v>1</v>
      </c>
      <c r="BM41" s="2" t="n">
        <v>3</v>
      </c>
      <c r="BN41" s="2" t="n">
        <v>2</v>
      </c>
      <c r="BO41" s="2" t="n">
        <v>4</v>
      </c>
      <c r="BP41" s="2"/>
      <c r="BQ41" s="2" t="n">
        <v>4</v>
      </c>
      <c r="BR41" s="2" t="n">
        <v>4</v>
      </c>
      <c r="BS41" s="2" t="n">
        <v>5</v>
      </c>
      <c r="BT41" s="2" t="n">
        <v>3</v>
      </c>
      <c r="BU41" s="2" t="n">
        <v>3</v>
      </c>
      <c r="BV41" s="2" t="n">
        <v>5</v>
      </c>
      <c r="BW41" s="2" t="n">
        <v>4</v>
      </c>
      <c r="BX41" s="2" t="n">
        <v>4</v>
      </c>
      <c r="BY41" s="2" t="n">
        <v>3</v>
      </c>
      <c r="BZ41" s="2" t="n">
        <v>1</v>
      </c>
      <c r="CA41" s="2" t="s">
        <v>115</v>
      </c>
      <c r="CB41" s="2" t="n">
        <v>1</v>
      </c>
      <c r="CC41" s="2" t="n">
        <v>1</v>
      </c>
      <c r="CD41" s="2" t="n">
        <v>0</v>
      </c>
      <c r="CE41" s="2" t="n">
        <v>0</v>
      </c>
      <c r="CF41" s="2" t="s">
        <v>307</v>
      </c>
      <c r="CG41" s="2" t="n">
        <v>2</v>
      </c>
      <c r="CH41" s="2" t="n">
        <v>5</v>
      </c>
      <c r="CI41" s="2" t="n">
        <v>3</v>
      </c>
      <c r="CJ41" s="2" t="n">
        <v>3</v>
      </c>
      <c r="CK41" s="2" t="s">
        <v>176</v>
      </c>
      <c r="CL41" s="2" t="s">
        <v>198</v>
      </c>
      <c r="CM41" s="2" t="s">
        <v>140</v>
      </c>
      <c r="CN41" s="2"/>
      <c r="CO41" s="2" t="s">
        <v>122</v>
      </c>
      <c r="CP41" s="2" t="s">
        <v>122</v>
      </c>
      <c r="CQ41" s="2"/>
      <c r="CR41" s="2" t="s">
        <v>141</v>
      </c>
      <c r="CS41" s="2"/>
      <c r="CT41" s="2"/>
    </row>
    <row r="42" customFormat="false" ht="15" hidden="false" customHeight="false" outlineLevel="0" collapsed="false">
      <c r="A42" s="2" t="n">
        <v>41</v>
      </c>
      <c r="B42" s="2" t="s">
        <v>308</v>
      </c>
      <c r="C42" s="2" t="s">
        <v>309</v>
      </c>
      <c r="D42" s="2" t="s">
        <v>227</v>
      </c>
      <c r="E42" s="2" t="s">
        <v>125</v>
      </c>
      <c r="F42" s="2" t="s">
        <v>179</v>
      </c>
      <c r="G42" s="2" t="s">
        <v>180</v>
      </c>
      <c r="H42" s="2" t="s">
        <v>104</v>
      </c>
      <c r="I42" s="2"/>
      <c r="J42" s="2" t="s">
        <v>128</v>
      </c>
      <c r="K42" s="2"/>
      <c r="L42" s="2" t="s">
        <v>172</v>
      </c>
      <c r="M42" s="2" t="s">
        <v>107</v>
      </c>
      <c r="N42" s="2" t="s">
        <v>209</v>
      </c>
      <c r="O42" s="2"/>
      <c r="P42" s="2" t="s">
        <v>149</v>
      </c>
      <c r="Q42" s="2" t="s">
        <v>148</v>
      </c>
      <c r="R42" s="2" t="s">
        <v>109</v>
      </c>
      <c r="S42" s="2" t="s">
        <v>282</v>
      </c>
      <c r="T42" s="2" t="n">
        <v>1</v>
      </c>
      <c r="U42" s="2" t="n">
        <v>1</v>
      </c>
      <c r="V42" s="2" t="n">
        <v>0</v>
      </c>
      <c r="W42" s="2" t="n">
        <v>0</v>
      </c>
      <c r="X42" s="2" t="s">
        <v>222</v>
      </c>
      <c r="Y42" s="2" t="n">
        <v>3</v>
      </c>
      <c r="Z42" s="2" t="n">
        <v>4</v>
      </c>
      <c r="AA42" s="2" t="n">
        <v>3</v>
      </c>
      <c r="AB42" s="2" t="n">
        <v>1</v>
      </c>
      <c r="AC42" s="2" t="n">
        <v>4</v>
      </c>
      <c r="AD42" s="2" t="n">
        <v>4</v>
      </c>
      <c r="AE42" s="2" t="n">
        <v>1</v>
      </c>
      <c r="AF42" s="2" t="n">
        <v>1</v>
      </c>
      <c r="AG42" s="2" t="n">
        <v>5</v>
      </c>
      <c r="AH42" s="2" t="n">
        <v>0</v>
      </c>
      <c r="AI42" s="2" t="n">
        <v>0</v>
      </c>
      <c r="AJ42" s="2" t="n">
        <v>1</v>
      </c>
      <c r="AK42" s="2" t="n">
        <v>0</v>
      </c>
      <c r="AL42" s="2" t="n">
        <v>1</v>
      </c>
      <c r="AM42" s="2" t="n">
        <v>0</v>
      </c>
      <c r="AN42" s="2" t="s">
        <v>310</v>
      </c>
      <c r="AO42" s="2" t="n">
        <v>1</v>
      </c>
      <c r="AP42" s="2" t="n">
        <v>2</v>
      </c>
      <c r="AQ42" s="2" t="n">
        <v>2</v>
      </c>
      <c r="AR42" s="2" t="n">
        <v>1</v>
      </c>
      <c r="AS42" s="2" t="n">
        <v>4</v>
      </c>
      <c r="AT42" s="2" t="n">
        <v>3</v>
      </c>
      <c r="AU42" s="2" t="n">
        <v>1</v>
      </c>
      <c r="AV42" s="2" t="n">
        <v>1</v>
      </c>
      <c r="AW42" s="2" t="n">
        <v>0</v>
      </c>
      <c r="AX42" s="2" t="n">
        <v>0</v>
      </c>
      <c r="AY42" s="2" t="n">
        <v>0</v>
      </c>
      <c r="AZ42" s="2" t="n">
        <v>0</v>
      </c>
      <c r="BA42" s="2" t="s">
        <v>257</v>
      </c>
      <c r="BB42" s="2" t="s">
        <v>217</v>
      </c>
      <c r="BC42" s="2" t="n">
        <v>4</v>
      </c>
      <c r="BD42" s="2" t="n">
        <v>2</v>
      </c>
      <c r="BE42" s="2" t="n">
        <v>2</v>
      </c>
      <c r="BF42" s="2" t="n">
        <v>4</v>
      </c>
      <c r="BG42" s="2" t="n">
        <v>1</v>
      </c>
      <c r="BH42" s="2" t="n">
        <v>3</v>
      </c>
      <c r="BI42" s="2" t="n">
        <v>4</v>
      </c>
      <c r="BJ42" s="2" t="n">
        <v>4</v>
      </c>
      <c r="BK42" s="2" t="n">
        <v>5</v>
      </c>
      <c r="BL42" s="2" t="n">
        <v>4</v>
      </c>
      <c r="BM42" s="2" t="n">
        <v>3</v>
      </c>
      <c r="BN42" s="2" t="n">
        <v>4</v>
      </c>
      <c r="BO42" s="2" t="n">
        <v>2</v>
      </c>
      <c r="BP42" s="2" t="n">
        <v>3</v>
      </c>
      <c r="BQ42" s="2" t="n">
        <v>4</v>
      </c>
      <c r="BR42" s="2" t="n">
        <v>3</v>
      </c>
      <c r="BS42" s="2" t="n">
        <v>5</v>
      </c>
      <c r="BT42" s="2" t="n">
        <v>2</v>
      </c>
      <c r="BU42" s="2" t="n">
        <v>4</v>
      </c>
      <c r="BV42" s="2" t="n">
        <v>5</v>
      </c>
      <c r="BW42" s="2" t="n">
        <v>4</v>
      </c>
      <c r="BX42" s="2" t="n">
        <v>5</v>
      </c>
      <c r="BY42" s="2" t="n">
        <v>5</v>
      </c>
      <c r="BZ42" s="2"/>
      <c r="CA42" s="2" t="s">
        <v>213</v>
      </c>
      <c r="CB42" s="2" t="n">
        <v>0</v>
      </c>
      <c r="CC42" s="2" t="n">
        <v>1</v>
      </c>
      <c r="CD42" s="2" t="n">
        <v>0</v>
      </c>
      <c r="CE42" s="2" t="n">
        <v>1</v>
      </c>
      <c r="CF42" s="2" t="s">
        <v>272</v>
      </c>
      <c r="CG42" s="2" t="n">
        <v>3</v>
      </c>
      <c r="CH42" s="2" t="n">
        <v>1</v>
      </c>
      <c r="CI42" s="2" t="n">
        <v>2</v>
      </c>
      <c r="CJ42" s="2" t="n">
        <v>3</v>
      </c>
      <c r="CK42" s="2"/>
      <c r="CL42" s="2" t="s">
        <v>119</v>
      </c>
      <c r="CM42" s="2" t="s">
        <v>205</v>
      </c>
      <c r="CN42" s="2"/>
      <c r="CO42" s="2" t="s">
        <v>121</v>
      </c>
      <c r="CP42" s="2" t="s">
        <v>122</v>
      </c>
      <c r="CQ42" s="2" t="s">
        <v>121</v>
      </c>
      <c r="CR42" s="2" t="s">
        <v>141</v>
      </c>
      <c r="CS42" s="2"/>
      <c r="CT42" s="2"/>
    </row>
    <row r="43" customFormat="false" ht="15" hidden="false" customHeight="false" outlineLevel="0" collapsed="false">
      <c r="A43" s="2" t="n">
        <v>42</v>
      </c>
      <c r="B43" s="2" t="s">
        <v>311</v>
      </c>
      <c r="C43" s="2" t="s">
        <v>300</v>
      </c>
      <c r="D43" s="2" t="s">
        <v>192</v>
      </c>
      <c r="E43" s="2" t="s">
        <v>125</v>
      </c>
      <c r="F43" s="2" t="s">
        <v>179</v>
      </c>
      <c r="G43" s="2" t="s">
        <v>103</v>
      </c>
      <c r="H43" s="2" t="s">
        <v>181</v>
      </c>
      <c r="I43" s="2" t="s">
        <v>105</v>
      </c>
      <c r="J43" s="2" t="s">
        <v>128</v>
      </c>
      <c r="K43" s="2"/>
      <c r="L43" s="2" t="s">
        <v>182</v>
      </c>
      <c r="M43" s="2" t="s">
        <v>221</v>
      </c>
      <c r="N43" s="2" t="s">
        <v>108</v>
      </c>
      <c r="O43" s="2"/>
      <c r="P43" s="2" t="s">
        <v>149</v>
      </c>
      <c r="Q43" s="2" t="s">
        <v>148</v>
      </c>
      <c r="R43" s="2" t="s">
        <v>149</v>
      </c>
      <c r="S43" s="2" t="s">
        <v>282</v>
      </c>
      <c r="T43" s="2" t="n">
        <v>0</v>
      </c>
      <c r="U43" s="2" t="n">
        <v>1</v>
      </c>
      <c r="V43" s="2" t="n">
        <v>0</v>
      </c>
      <c r="W43" s="2" t="n">
        <v>1</v>
      </c>
      <c r="X43" s="2" t="s">
        <v>112</v>
      </c>
      <c r="Y43" s="2" t="n">
        <v>5</v>
      </c>
      <c r="Z43" s="2" t="n">
        <v>4</v>
      </c>
      <c r="AA43" s="2" t="n">
        <v>4</v>
      </c>
      <c r="AB43" s="2" t="n">
        <v>3</v>
      </c>
      <c r="AC43" s="2"/>
      <c r="AD43" s="2" t="n">
        <v>2</v>
      </c>
      <c r="AE43" s="2" t="n">
        <v>5</v>
      </c>
      <c r="AF43" s="2" t="n">
        <v>3</v>
      </c>
      <c r="AG43" s="2" t="n">
        <v>4</v>
      </c>
      <c r="AH43" s="2" t="n">
        <v>0</v>
      </c>
      <c r="AI43" s="2" t="n">
        <v>1</v>
      </c>
      <c r="AJ43" s="2" t="n">
        <v>0</v>
      </c>
      <c r="AK43" s="2" t="n">
        <v>0</v>
      </c>
      <c r="AL43" s="2" t="n">
        <v>0</v>
      </c>
      <c r="AM43" s="2" t="n">
        <v>0</v>
      </c>
      <c r="AN43" s="2" t="s">
        <v>312</v>
      </c>
      <c r="AO43" s="2" t="n">
        <v>4</v>
      </c>
      <c r="AP43" s="2" t="n">
        <v>4</v>
      </c>
      <c r="AQ43" s="2" t="n">
        <v>5</v>
      </c>
      <c r="AR43" s="2" t="n">
        <v>5</v>
      </c>
      <c r="AS43" s="2" t="n">
        <v>1</v>
      </c>
      <c r="AT43" s="2" t="n">
        <v>3</v>
      </c>
      <c r="AU43" s="2"/>
      <c r="AV43" s="2" t="n">
        <v>0</v>
      </c>
      <c r="AW43" s="2" t="n">
        <v>0</v>
      </c>
      <c r="AX43" s="2" t="n">
        <v>1</v>
      </c>
      <c r="AY43" s="2" t="n">
        <v>0</v>
      </c>
      <c r="AZ43" s="2" t="n">
        <v>1</v>
      </c>
      <c r="BA43" s="2" t="s">
        <v>246</v>
      </c>
      <c r="BB43" s="2" t="s">
        <v>217</v>
      </c>
      <c r="BC43" s="2" t="n">
        <v>3</v>
      </c>
      <c r="BD43" s="2" t="n">
        <v>3</v>
      </c>
      <c r="BE43" s="2" t="n">
        <v>3</v>
      </c>
      <c r="BF43" s="2" t="n">
        <v>4</v>
      </c>
      <c r="BG43" s="2" t="n">
        <v>2</v>
      </c>
      <c r="BH43" s="2" t="n">
        <v>2</v>
      </c>
      <c r="BI43" s="2" t="n">
        <v>5</v>
      </c>
      <c r="BJ43" s="2" t="n">
        <v>3</v>
      </c>
      <c r="BK43" s="2" t="n">
        <v>5</v>
      </c>
      <c r="BL43" s="2" t="n">
        <v>3</v>
      </c>
      <c r="BM43" s="2" t="n">
        <v>4</v>
      </c>
      <c r="BN43" s="2" t="n">
        <v>3</v>
      </c>
      <c r="BO43" s="2" t="n">
        <v>3</v>
      </c>
      <c r="BP43" s="2" t="n">
        <v>2</v>
      </c>
      <c r="BQ43" s="2" t="n">
        <v>3</v>
      </c>
      <c r="BR43" s="2" t="n">
        <v>4</v>
      </c>
      <c r="BS43" s="2" t="n">
        <v>3</v>
      </c>
      <c r="BT43" s="2" t="n">
        <v>3</v>
      </c>
      <c r="BU43" s="2" t="n">
        <v>2</v>
      </c>
      <c r="BV43" s="2" t="n">
        <v>5</v>
      </c>
      <c r="BW43" s="2" t="n">
        <v>5</v>
      </c>
      <c r="BX43" s="2" t="n">
        <v>5</v>
      </c>
      <c r="BY43" s="2" t="n">
        <v>3</v>
      </c>
      <c r="BZ43" s="2" t="n">
        <v>4</v>
      </c>
      <c r="CA43" s="2" t="s">
        <v>213</v>
      </c>
      <c r="CB43" s="2" t="n">
        <v>0</v>
      </c>
      <c r="CC43" s="2" t="n">
        <v>0</v>
      </c>
      <c r="CD43" s="2" t="n">
        <v>0</v>
      </c>
      <c r="CE43" s="2" t="n">
        <v>1</v>
      </c>
      <c r="CF43" s="2" t="s">
        <v>166</v>
      </c>
      <c r="CG43" s="2" t="n">
        <v>4</v>
      </c>
      <c r="CH43" s="2" t="n">
        <v>4</v>
      </c>
      <c r="CI43" s="2" t="n">
        <v>4</v>
      </c>
      <c r="CJ43" s="2" t="n">
        <v>3</v>
      </c>
      <c r="CK43" s="2" t="s">
        <v>176</v>
      </c>
      <c r="CL43" s="2" t="s">
        <v>198</v>
      </c>
      <c r="CM43" s="2" t="s">
        <v>168</v>
      </c>
      <c r="CN43" s="2" t="s">
        <v>121</v>
      </c>
      <c r="CO43" s="2" t="s">
        <v>122</v>
      </c>
      <c r="CP43" s="2" t="s">
        <v>121</v>
      </c>
      <c r="CQ43" s="2" t="s">
        <v>122</v>
      </c>
      <c r="CR43" s="2" t="s">
        <v>141</v>
      </c>
      <c r="CS43" s="2"/>
      <c r="CT43" s="2"/>
    </row>
    <row r="44" customFormat="false" ht="15" hidden="false" customHeight="false" outlineLevel="0" collapsed="false">
      <c r="A44" s="2" t="n">
        <v>43</v>
      </c>
      <c r="B44" s="2" t="s">
        <v>313</v>
      </c>
      <c r="C44" s="2" t="s">
        <v>314</v>
      </c>
      <c r="D44" s="2" t="s">
        <v>227</v>
      </c>
      <c r="E44" s="2" t="s">
        <v>144</v>
      </c>
      <c r="F44" s="2" t="s">
        <v>179</v>
      </c>
      <c r="G44" s="2" t="s">
        <v>180</v>
      </c>
      <c r="H44" s="2" t="s">
        <v>181</v>
      </c>
      <c r="I44" s="2" t="s">
        <v>127</v>
      </c>
      <c r="J44" s="2" t="s">
        <v>146</v>
      </c>
      <c r="K44" s="2"/>
      <c r="L44" s="2" t="s">
        <v>182</v>
      </c>
      <c r="M44" s="2" t="s">
        <v>130</v>
      </c>
      <c r="N44" s="2" t="s">
        <v>108</v>
      </c>
      <c r="O44" s="2"/>
      <c r="P44" s="2" t="s">
        <v>109</v>
      </c>
      <c r="Q44" s="2"/>
      <c r="R44" s="2" t="s">
        <v>109</v>
      </c>
      <c r="S44" s="2" t="s">
        <v>185</v>
      </c>
      <c r="T44" s="2" t="n">
        <v>1</v>
      </c>
      <c r="U44" s="2" t="n">
        <v>0</v>
      </c>
      <c r="V44" s="2" t="n">
        <v>0</v>
      </c>
      <c r="W44" s="2" t="n">
        <v>0</v>
      </c>
      <c r="X44" s="2" t="s">
        <v>255</v>
      </c>
      <c r="Y44" s="2"/>
      <c r="Z44" s="2"/>
      <c r="AA44" s="2"/>
      <c r="AB44" s="2" t="n">
        <v>5</v>
      </c>
      <c r="AC44" s="2" t="n">
        <v>3</v>
      </c>
      <c r="AD44" s="2" t="n">
        <v>4</v>
      </c>
      <c r="AE44" s="2" t="n">
        <v>2</v>
      </c>
      <c r="AF44" s="2" t="n">
        <v>2</v>
      </c>
      <c r="AG44" s="2" t="n">
        <v>3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1</v>
      </c>
      <c r="AN44" s="2" t="s">
        <v>167</v>
      </c>
      <c r="AO44" s="2" t="n">
        <v>2</v>
      </c>
      <c r="AP44" s="2" t="n">
        <v>3</v>
      </c>
      <c r="AQ44" s="2" t="n">
        <v>4</v>
      </c>
      <c r="AR44" s="2" t="n">
        <v>5</v>
      </c>
      <c r="AS44" s="2" t="n">
        <v>4</v>
      </c>
      <c r="AT44" s="2" t="n">
        <v>5</v>
      </c>
      <c r="AU44" s="2" t="n">
        <v>4</v>
      </c>
      <c r="AV44" s="2" t="n">
        <v>0</v>
      </c>
      <c r="AW44" s="2" t="n">
        <v>0</v>
      </c>
      <c r="AX44" s="2" t="n">
        <v>0</v>
      </c>
      <c r="AY44" s="2" t="n">
        <v>1</v>
      </c>
      <c r="AZ44" s="2" t="n">
        <v>1</v>
      </c>
      <c r="BA44" s="2" t="s">
        <v>134</v>
      </c>
      <c r="BB44" s="2" t="s">
        <v>115</v>
      </c>
      <c r="BC44" s="2" t="n">
        <v>5</v>
      </c>
      <c r="BD44" s="2"/>
      <c r="BE44" s="2" t="n">
        <v>3</v>
      </c>
      <c r="BF44" s="2" t="n">
        <v>5</v>
      </c>
      <c r="BG44" s="2" t="n">
        <v>4</v>
      </c>
      <c r="BH44" s="2" t="n">
        <v>1</v>
      </c>
      <c r="BI44" s="2" t="n">
        <v>5</v>
      </c>
      <c r="BJ44" s="2" t="n">
        <v>4</v>
      </c>
      <c r="BK44" s="2" t="n">
        <v>3</v>
      </c>
      <c r="BL44" s="2" t="n">
        <v>4</v>
      </c>
      <c r="BM44" s="2" t="n">
        <v>3</v>
      </c>
      <c r="BN44" s="2" t="n">
        <v>5</v>
      </c>
      <c r="BO44" s="2" t="n">
        <v>1</v>
      </c>
      <c r="BP44" s="2" t="n">
        <v>4</v>
      </c>
      <c r="BQ44" s="2" t="n">
        <v>1</v>
      </c>
      <c r="BR44" s="2" t="n">
        <v>2</v>
      </c>
      <c r="BS44" s="2" t="n">
        <v>4</v>
      </c>
      <c r="BT44" s="2" t="n">
        <v>2</v>
      </c>
      <c r="BU44" s="2" t="n">
        <v>2</v>
      </c>
      <c r="BV44" s="2" t="n">
        <v>2</v>
      </c>
      <c r="BW44" s="2" t="n">
        <v>3</v>
      </c>
      <c r="BX44" s="2" t="n">
        <v>1</v>
      </c>
      <c r="BY44" s="2" t="n">
        <v>4</v>
      </c>
      <c r="BZ44" s="2" t="n">
        <v>3</v>
      </c>
      <c r="CA44" s="2" t="s">
        <v>136</v>
      </c>
      <c r="CB44" s="2" t="n">
        <v>0</v>
      </c>
      <c r="CC44" s="2" t="n">
        <v>1</v>
      </c>
      <c r="CD44" s="2" t="n">
        <v>0</v>
      </c>
      <c r="CE44" s="2" t="n">
        <v>1</v>
      </c>
      <c r="CF44" s="2" t="s">
        <v>272</v>
      </c>
      <c r="CG44" s="2" t="n">
        <v>2</v>
      </c>
      <c r="CH44" s="2" t="n">
        <v>4</v>
      </c>
      <c r="CI44" s="2" t="n">
        <v>2</v>
      </c>
      <c r="CJ44" s="2" t="n">
        <v>4</v>
      </c>
      <c r="CK44" s="2" t="s">
        <v>138</v>
      </c>
      <c r="CL44" s="2" t="s">
        <v>154</v>
      </c>
      <c r="CM44" s="2"/>
      <c r="CN44" s="2" t="s">
        <v>122</v>
      </c>
      <c r="CO44" s="2" t="s">
        <v>122</v>
      </c>
      <c r="CP44" s="2"/>
      <c r="CQ44" s="2"/>
      <c r="CR44" s="2"/>
      <c r="CS44" s="2"/>
      <c r="CT44" s="2"/>
    </row>
    <row r="45" customFormat="false" ht="15" hidden="false" customHeight="false" outlineLevel="0" collapsed="false">
      <c r="A45" s="2" t="n">
        <v>44</v>
      </c>
      <c r="B45" s="2" t="s">
        <v>315</v>
      </c>
      <c r="C45" s="2" t="s">
        <v>143</v>
      </c>
      <c r="D45" s="2" t="s">
        <v>192</v>
      </c>
      <c r="E45" s="2" t="s">
        <v>144</v>
      </c>
      <c r="F45" s="2" t="s">
        <v>102</v>
      </c>
      <c r="G45" s="2" t="s">
        <v>103</v>
      </c>
      <c r="H45" s="2" t="s">
        <v>159</v>
      </c>
      <c r="I45" s="2" t="s">
        <v>145</v>
      </c>
      <c r="J45" s="2" t="s">
        <v>146</v>
      </c>
      <c r="K45" s="2"/>
      <c r="L45" s="2" t="s">
        <v>129</v>
      </c>
      <c r="M45" s="2" t="s">
        <v>161</v>
      </c>
      <c r="N45" s="2" t="s">
        <v>108</v>
      </c>
      <c r="O45" s="2"/>
      <c r="P45" s="2" t="s">
        <v>149</v>
      </c>
      <c r="Q45" s="2" t="s">
        <v>110</v>
      </c>
      <c r="R45" s="2" t="s">
        <v>149</v>
      </c>
      <c r="S45" s="2" t="s">
        <v>282</v>
      </c>
      <c r="T45" s="2" t="n">
        <v>0</v>
      </c>
      <c r="U45" s="2" t="n">
        <v>1</v>
      </c>
      <c r="V45" s="2" t="n">
        <v>0</v>
      </c>
      <c r="W45" s="2" t="n">
        <v>1</v>
      </c>
      <c r="X45" s="2" t="s">
        <v>112</v>
      </c>
      <c r="Y45" s="2"/>
      <c r="Z45" s="2"/>
      <c r="AA45" s="2"/>
      <c r="AB45" s="2" t="n">
        <v>1</v>
      </c>
      <c r="AC45" s="2" t="n">
        <v>2</v>
      </c>
      <c r="AD45" s="2" t="n">
        <v>1</v>
      </c>
      <c r="AE45" s="2" t="n">
        <v>5</v>
      </c>
      <c r="AF45" s="2" t="n">
        <v>4</v>
      </c>
      <c r="AG45" s="2" t="n">
        <v>4</v>
      </c>
      <c r="AH45" s="2" t="n">
        <v>0</v>
      </c>
      <c r="AI45" s="2" t="n">
        <v>0</v>
      </c>
      <c r="AJ45" s="2" t="n">
        <v>0</v>
      </c>
      <c r="AK45" s="2" t="n">
        <v>1</v>
      </c>
      <c r="AL45" s="2" t="n">
        <v>0</v>
      </c>
      <c r="AM45" s="2" t="n">
        <v>0</v>
      </c>
      <c r="AN45" s="2" t="s">
        <v>202</v>
      </c>
      <c r="AO45" s="2"/>
      <c r="AP45" s="2" t="n">
        <v>1</v>
      </c>
      <c r="AQ45" s="2" t="n">
        <v>5</v>
      </c>
      <c r="AR45" s="2" t="n">
        <v>3</v>
      </c>
      <c r="AS45" s="2" t="n">
        <v>3</v>
      </c>
      <c r="AT45" s="2" t="n">
        <v>3</v>
      </c>
      <c r="AU45" s="2" t="n">
        <v>2</v>
      </c>
      <c r="AV45" s="2" t="n">
        <v>0</v>
      </c>
      <c r="AW45" s="2" t="n">
        <v>1</v>
      </c>
      <c r="AX45" s="2" t="n">
        <v>0</v>
      </c>
      <c r="AY45" s="2" t="n">
        <v>0</v>
      </c>
      <c r="AZ45" s="2" t="n">
        <v>0</v>
      </c>
      <c r="BA45" s="2" t="s">
        <v>175</v>
      </c>
      <c r="BB45" s="2"/>
      <c r="BC45" s="2" t="n">
        <v>4</v>
      </c>
      <c r="BD45" s="2" t="n">
        <v>5</v>
      </c>
      <c r="BE45" s="2" t="n">
        <v>4</v>
      </c>
      <c r="BF45" s="2" t="n">
        <v>2</v>
      </c>
      <c r="BG45" s="2" t="n">
        <v>5</v>
      </c>
      <c r="BH45" s="2" t="n">
        <v>5</v>
      </c>
      <c r="BI45" s="2" t="n">
        <v>4</v>
      </c>
      <c r="BJ45" s="2" t="n">
        <v>2</v>
      </c>
      <c r="BK45" s="2" t="n">
        <v>4</v>
      </c>
      <c r="BL45" s="2" t="n">
        <v>1</v>
      </c>
      <c r="BM45" s="2" t="n">
        <v>2</v>
      </c>
      <c r="BN45" s="2" t="n">
        <v>5</v>
      </c>
      <c r="BO45" s="2" t="n">
        <v>2</v>
      </c>
      <c r="BP45" s="2" t="n">
        <v>1</v>
      </c>
      <c r="BQ45" s="2" t="n">
        <v>5</v>
      </c>
      <c r="BR45" s="2" t="n">
        <v>2</v>
      </c>
      <c r="BS45" s="2" t="n">
        <v>3</v>
      </c>
      <c r="BT45" s="2" t="n">
        <v>3</v>
      </c>
      <c r="BU45" s="2" t="n">
        <v>3</v>
      </c>
      <c r="BV45" s="2" t="n">
        <v>5</v>
      </c>
      <c r="BW45" s="2" t="n">
        <v>1</v>
      </c>
      <c r="BX45" s="2"/>
      <c r="BY45" s="2" t="n">
        <v>3</v>
      </c>
      <c r="BZ45" s="2" t="n">
        <v>5</v>
      </c>
      <c r="CA45" s="2" t="s">
        <v>136</v>
      </c>
      <c r="CB45" s="2" t="n">
        <v>1</v>
      </c>
      <c r="CC45" s="2" t="n">
        <v>0</v>
      </c>
      <c r="CD45" s="2" t="n">
        <v>0</v>
      </c>
      <c r="CE45" s="2" t="n">
        <v>0</v>
      </c>
      <c r="CF45" s="2" t="s">
        <v>229</v>
      </c>
      <c r="CG45" s="2" t="n">
        <v>4</v>
      </c>
      <c r="CH45" s="2" t="n">
        <v>4</v>
      </c>
      <c r="CI45" s="2" t="n">
        <v>5</v>
      </c>
      <c r="CJ45" s="2" t="n">
        <v>1</v>
      </c>
      <c r="CK45" s="2" t="s">
        <v>118</v>
      </c>
      <c r="CL45" s="2" t="s">
        <v>119</v>
      </c>
      <c r="CM45" s="2" t="s">
        <v>168</v>
      </c>
      <c r="CN45" s="2" t="s">
        <v>121</v>
      </c>
      <c r="CO45" s="2" t="s">
        <v>121</v>
      </c>
      <c r="CP45" s="2"/>
      <c r="CQ45" s="2" t="s">
        <v>121</v>
      </c>
      <c r="CR45" s="2"/>
      <c r="CS45" s="2"/>
      <c r="CT45" s="2"/>
    </row>
    <row r="46" customFormat="false" ht="15" hidden="false" customHeight="false" outlineLevel="0" collapsed="false">
      <c r="A46" s="2" t="n">
        <v>45</v>
      </c>
      <c r="B46" s="2" t="s">
        <v>316</v>
      </c>
      <c r="C46" s="2" t="s">
        <v>287</v>
      </c>
      <c r="D46" s="2" t="s">
        <v>208</v>
      </c>
      <c r="E46" s="2" t="s">
        <v>193</v>
      </c>
      <c r="F46" s="2" t="s">
        <v>102</v>
      </c>
      <c r="G46" s="2" t="s">
        <v>180</v>
      </c>
      <c r="H46" s="2" t="s">
        <v>104</v>
      </c>
      <c r="I46" s="2" t="s">
        <v>105</v>
      </c>
      <c r="J46" s="2" t="s">
        <v>106</v>
      </c>
      <c r="K46" s="2"/>
      <c r="L46" s="2" t="s">
        <v>129</v>
      </c>
      <c r="M46" s="2" t="s">
        <v>221</v>
      </c>
      <c r="N46" s="2" t="s">
        <v>167</v>
      </c>
      <c r="O46" s="2"/>
      <c r="P46" s="2" t="s">
        <v>149</v>
      </c>
      <c r="Q46" s="2" t="s">
        <v>110</v>
      </c>
      <c r="R46" s="2" t="s">
        <v>149</v>
      </c>
      <c r="S46" s="2" t="s">
        <v>282</v>
      </c>
      <c r="T46" s="2" t="n">
        <v>1</v>
      </c>
      <c r="U46" s="2" t="n">
        <v>1</v>
      </c>
      <c r="V46" s="2" t="n">
        <v>0</v>
      </c>
      <c r="W46" s="2" t="n">
        <v>0</v>
      </c>
      <c r="X46" s="2" t="s">
        <v>317</v>
      </c>
      <c r="Y46" s="2"/>
      <c r="Z46" s="2"/>
      <c r="AA46" s="2"/>
      <c r="AB46" s="2" t="n">
        <v>5</v>
      </c>
      <c r="AC46" s="2" t="n">
        <v>4</v>
      </c>
      <c r="AD46" s="2" t="n">
        <v>3</v>
      </c>
      <c r="AE46" s="2" t="n">
        <v>5</v>
      </c>
      <c r="AF46" s="2" t="n">
        <v>2</v>
      </c>
      <c r="AG46" s="2" t="n">
        <v>3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1</v>
      </c>
      <c r="AN46" s="2" t="s">
        <v>167</v>
      </c>
      <c r="AO46" s="2" t="n">
        <v>5</v>
      </c>
      <c r="AP46" s="2" t="n">
        <v>4</v>
      </c>
      <c r="AQ46" s="2" t="n">
        <v>4</v>
      </c>
      <c r="AR46" s="2"/>
      <c r="AS46" s="2" t="n">
        <v>1</v>
      </c>
      <c r="AT46" s="2" t="n">
        <v>3</v>
      </c>
      <c r="AU46" s="2" t="n">
        <v>5</v>
      </c>
      <c r="AV46" s="2" t="n">
        <v>0</v>
      </c>
      <c r="AW46" s="2" t="n">
        <v>0</v>
      </c>
      <c r="AX46" s="2" t="n">
        <v>1</v>
      </c>
      <c r="AY46" s="2" t="n">
        <v>0</v>
      </c>
      <c r="AZ46" s="2" t="n">
        <v>0</v>
      </c>
      <c r="BA46" s="2" t="s">
        <v>212</v>
      </c>
      <c r="BB46" s="2" t="s">
        <v>135</v>
      </c>
      <c r="BC46" s="2" t="n">
        <v>2</v>
      </c>
      <c r="BD46" s="2" t="n">
        <v>4</v>
      </c>
      <c r="BE46" s="2" t="n">
        <v>1</v>
      </c>
      <c r="BF46" s="2" t="n">
        <v>2</v>
      </c>
      <c r="BG46" s="2" t="n">
        <v>1</v>
      </c>
      <c r="BH46" s="2" t="n">
        <v>4</v>
      </c>
      <c r="BI46" s="2" t="n">
        <v>5</v>
      </c>
      <c r="BJ46" s="2"/>
      <c r="BK46" s="2" t="n">
        <v>5</v>
      </c>
      <c r="BL46" s="2" t="n">
        <v>2</v>
      </c>
      <c r="BM46" s="2" t="n">
        <v>5</v>
      </c>
      <c r="BN46" s="2" t="n">
        <v>2</v>
      </c>
      <c r="BO46" s="2" t="n">
        <v>3</v>
      </c>
      <c r="BP46" s="2" t="n">
        <v>4</v>
      </c>
      <c r="BQ46" s="2" t="n">
        <v>3</v>
      </c>
      <c r="BR46" s="2" t="n">
        <v>3</v>
      </c>
      <c r="BS46" s="2" t="n">
        <v>4</v>
      </c>
      <c r="BT46" s="2" t="n">
        <v>3</v>
      </c>
      <c r="BU46" s="2" t="n">
        <v>2</v>
      </c>
      <c r="BV46" s="2" t="n">
        <v>3</v>
      </c>
      <c r="BW46" s="2" t="n">
        <v>1</v>
      </c>
      <c r="BX46" s="2" t="n">
        <v>2</v>
      </c>
      <c r="BY46" s="2" t="n">
        <v>2</v>
      </c>
      <c r="BZ46" s="2" t="n">
        <v>2</v>
      </c>
      <c r="CA46" s="2"/>
      <c r="CB46" s="2" t="n">
        <v>1</v>
      </c>
      <c r="CC46" s="2" t="n">
        <v>1</v>
      </c>
      <c r="CD46" s="2" t="n">
        <v>0</v>
      </c>
      <c r="CE46" s="2" t="n">
        <v>0</v>
      </c>
      <c r="CF46" s="2" t="s">
        <v>197</v>
      </c>
      <c r="CG46" s="2" t="n">
        <v>3</v>
      </c>
      <c r="CH46" s="2" t="n">
        <v>3</v>
      </c>
      <c r="CI46" s="2"/>
      <c r="CJ46" s="2" t="n">
        <v>5</v>
      </c>
      <c r="CK46" s="2" t="s">
        <v>176</v>
      </c>
      <c r="CL46" s="2"/>
      <c r="CM46" s="2" t="s">
        <v>205</v>
      </c>
      <c r="CN46" s="2"/>
      <c r="CO46" s="2" t="s">
        <v>121</v>
      </c>
      <c r="CP46" s="2" t="s">
        <v>121</v>
      </c>
      <c r="CQ46" s="2" t="s">
        <v>122</v>
      </c>
      <c r="CR46" s="2"/>
      <c r="CS46" s="2"/>
      <c r="CT46" s="2"/>
    </row>
  </sheetData>
  <autoFilter ref="A1:CT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</row>
    <row r="2" customFormat="false" ht="15" hidden="false" customHeight="false" outlineLevel="0" collapsed="false">
      <c r="A2" s="2" t="s">
        <v>2</v>
      </c>
      <c r="B2" s="3" t="s">
        <v>113</v>
      </c>
      <c r="C2" s="2" t="s">
        <v>325</v>
      </c>
      <c r="D2" s="2" t="n">
        <v>1</v>
      </c>
      <c r="E2" s="2" t="s">
        <v>326</v>
      </c>
      <c r="F2" s="3"/>
      <c r="G2" s="2"/>
    </row>
    <row r="3" customFormat="false" ht="15" hidden="false" customHeight="false" outlineLevel="0" collapsed="false">
      <c r="A3" s="2" t="s">
        <v>3</v>
      </c>
      <c r="B3" s="3" t="s">
        <v>327</v>
      </c>
      <c r="C3" s="2" t="s">
        <v>325</v>
      </c>
      <c r="D3" s="2" t="n">
        <v>1</v>
      </c>
      <c r="E3" s="2" t="s">
        <v>326</v>
      </c>
      <c r="F3" s="3"/>
      <c r="G3" s="2"/>
    </row>
    <row r="4" customFormat="false" ht="15" hidden="false" customHeight="false" outlineLevel="0" collapsed="false">
      <c r="A4" s="2" t="s">
        <v>4</v>
      </c>
      <c r="B4" s="3" t="s">
        <v>328</v>
      </c>
      <c r="C4" s="2" t="s">
        <v>325</v>
      </c>
      <c r="D4" s="2" t="n">
        <v>1</v>
      </c>
      <c r="E4" s="2" t="s">
        <v>326</v>
      </c>
      <c r="F4" s="3"/>
      <c r="G4" s="2"/>
    </row>
    <row r="5" customFormat="false" ht="15" hidden="false" customHeight="false" outlineLevel="0" collapsed="false">
      <c r="A5" s="2" t="s">
        <v>5</v>
      </c>
      <c r="B5" s="3" t="s">
        <v>329</v>
      </c>
      <c r="C5" s="2" t="s">
        <v>325</v>
      </c>
      <c r="D5" s="2" t="n">
        <v>1</v>
      </c>
      <c r="E5" s="2" t="s">
        <v>330</v>
      </c>
      <c r="F5" s="3" t="s">
        <v>331</v>
      </c>
      <c r="G5" s="2"/>
    </row>
    <row r="6" customFormat="false" ht="15" hidden="false" customHeight="false" outlineLevel="0" collapsed="false">
      <c r="A6" s="2" t="s">
        <v>6</v>
      </c>
      <c r="B6" s="3" t="s">
        <v>332</v>
      </c>
      <c r="C6" s="2" t="s">
        <v>325</v>
      </c>
      <c r="D6" s="2" t="n">
        <v>1</v>
      </c>
      <c r="E6" s="2" t="s">
        <v>330</v>
      </c>
      <c r="F6" s="3" t="s">
        <v>333</v>
      </c>
      <c r="G6" s="2"/>
    </row>
    <row r="7" customFormat="false" ht="15" hidden="false" customHeight="false" outlineLevel="0" collapsed="false">
      <c r="A7" s="2" t="s">
        <v>7</v>
      </c>
      <c r="B7" s="3" t="s">
        <v>334</v>
      </c>
      <c r="C7" s="2" t="s">
        <v>325</v>
      </c>
      <c r="D7" s="2" t="n">
        <v>1</v>
      </c>
      <c r="E7" s="2" t="s">
        <v>330</v>
      </c>
      <c r="F7" s="3" t="s">
        <v>335</v>
      </c>
      <c r="G7" s="2"/>
    </row>
    <row r="8" customFormat="false" ht="15" hidden="false" customHeight="false" outlineLevel="0" collapsed="false">
      <c r="A8" s="2" t="s">
        <v>8</v>
      </c>
      <c r="B8" s="3" t="s">
        <v>336</v>
      </c>
      <c r="C8" s="2" t="s">
        <v>325</v>
      </c>
      <c r="D8" s="2" t="n">
        <v>1</v>
      </c>
      <c r="E8" s="2" t="s">
        <v>330</v>
      </c>
      <c r="F8" s="3" t="s">
        <v>337</v>
      </c>
      <c r="G8" s="2"/>
    </row>
    <row r="9" customFormat="false" ht="15" hidden="false" customHeight="false" outlineLevel="0" collapsed="false">
      <c r="A9" s="2" t="s">
        <v>9</v>
      </c>
      <c r="B9" s="3" t="s">
        <v>338</v>
      </c>
      <c r="C9" s="2" t="s">
        <v>325</v>
      </c>
      <c r="D9" s="2" t="n">
        <v>1</v>
      </c>
      <c r="E9" s="2" t="s">
        <v>330</v>
      </c>
      <c r="F9" s="3" t="s">
        <v>339</v>
      </c>
      <c r="G9" s="2"/>
    </row>
    <row r="10" customFormat="false" ht="15" hidden="false" customHeight="false" outlineLevel="0" collapsed="false">
      <c r="A10" s="2" t="s">
        <v>10</v>
      </c>
      <c r="B10" s="3" t="s">
        <v>340</v>
      </c>
      <c r="C10" s="2" t="s">
        <v>325</v>
      </c>
      <c r="D10" s="2" t="n">
        <v>1</v>
      </c>
      <c r="E10" s="2" t="s">
        <v>326</v>
      </c>
      <c r="F10" s="3"/>
      <c r="G10" s="2"/>
    </row>
    <row r="11" customFormat="false" ht="15" hidden="false" customHeight="false" outlineLevel="0" collapsed="false">
      <c r="A11" s="2" t="s">
        <v>11</v>
      </c>
      <c r="B11" s="3" t="s">
        <v>341</v>
      </c>
      <c r="C11" s="2" t="s">
        <v>325</v>
      </c>
      <c r="D11" s="2" t="n">
        <v>1</v>
      </c>
      <c r="E11" s="2" t="s">
        <v>330</v>
      </c>
      <c r="F11" s="3" t="s">
        <v>342</v>
      </c>
      <c r="G11" s="2"/>
    </row>
    <row r="12" customFormat="false" ht="15" hidden="false" customHeight="false" outlineLevel="0" collapsed="false">
      <c r="A12" s="2" t="s">
        <v>12</v>
      </c>
      <c r="B12" s="3" t="s">
        <v>343</v>
      </c>
      <c r="C12" s="2" t="s">
        <v>325</v>
      </c>
      <c r="D12" s="2" t="n">
        <v>1</v>
      </c>
      <c r="E12" s="2" t="s">
        <v>330</v>
      </c>
      <c r="F12" s="3" t="s">
        <v>344</v>
      </c>
      <c r="G12" s="2"/>
    </row>
    <row r="13" customFormat="false" ht="23.85" hidden="false" customHeight="false" outlineLevel="0" collapsed="false">
      <c r="A13" s="2" t="s">
        <v>13</v>
      </c>
      <c r="B13" s="3" t="s">
        <v>345</v>
      </c>
      <c r="C13" s="2" t="s">
        <v>325</v>
      </c>
      <c r="D13" s="2" t="n">
        <v>1</v>
      </c>
      <c r="E13" s="2" t="s">
        <v>330</v>
      </c>
      <c r="F13" s="3" t="s">
        <v>346</v>
      </c>
      <c r="G13" s="2"/>
    </row>
    <row r="14" customFormat="false" ht="15" hidden="false" customHeight="false" outlineLevel="0" collapsed="false">
      <c r="A14" s="2" t="s">
        <v>14</v>
      </c>
      <c r="B14" s="3" t="s">
        <v>347</v>
      </c>
      <c r="C14" s="2" t="s">
        <v>325</v>
      </c>
      <c r="D14" s="2" t="n">
        <v>1</v>
      </c>
      <c r="E14" s="2" t="s">
        <v>326</v>
      </c>
      <c r="F14" s="3"/>
      <c r="G14" s="2"/>
    </row>
    <row r="15" customFormat="false" ht="23.85" hidden="false" customHeight="false" outlineLevel="0" collapsed="false">
      <c r="A15" s="2" t="s">
        <v>15</v>
      </c>
      <c r="B15" s="3" t="s">
        <v>348</v>
      </c>
      <c r="C15" s="2" t="s">
        <v>325</v>
      </c>
      <c r="D15" s="2" t="n">
        <v>1</v>
      </c>
      <c r="E15" s="2" t="s">
        <v>330</v>
      </c>
      <c r="F15" s="3" t="s">
        <v>349</v>
      </c>
      <c r="G15" s="2"/>
    </row>
    <row r="16" customFormat="false" ht="15" hidden="false" customHeight="false" outlineLevel="0" collapsed="false">
      <c r="A16" s="2" t="s">
        <v>16</v>
      </c>
      <c r="B16" s="3" t="s">
        <v>350</v>
      </c>
      <c r="C16" s="2" t="s">
        <v>325</v>
      </c>
      <c r="D16" s="2" t="n">
        <v>1</v>
      </c>
      <c r="E16" s="2" t="s">
        <v>330</v>
      </c>
      <c r="F16" s="3" t="s">
        <v>351</v>
      </c>
      <c r="G16" s="2"/>
    </row>
    <row r="17" customFormat="false" ht="15" hidden="false" customHeight="false" outlineLevel="0" collapsed="false">
      <c r="A17" s="2" t="s">
        <v>17</v>
      </c>
      <c r="B17" s="3" t="s">
        <v>352</v>
      </c>
      <c r="C17" s="2" t="s">
        <v>325</v>
      </c>
      <c r="D17" s="2" t="n">
        <v>1</v>
      </c>
      <c r="E17" s="2" t="s">
        <v>330</v>
      </c>
      <c r="F17" s="3" t="s">
        <v>349</v>
      </c>
      <c r="G17" s="2"/>
    </row>
    <row r="18" customFormat="false" ht="15" hidden="false" customHeight="false" outlineLevel="0" collapsed="false">
      <c r="A18" s="2" t="s">
        <v>18</v>
      </c>
      <c r="B18" s="3" t="s">
        <v>353</v>
      </c>
      <c r="C18" s="2" t="s">
        <v>325</v>
      </c>
      <c r="D18" s="2" t="n">
        <v>1</v>
      </c>
      <c r="E18" s="2" t="s">
        <v>330</v>
      </c>
      <c r="F18" s="3" t="s">
        <v>354</v>
      </c>
      <c r="G18" s="2"/>
    </row>
    <row r="19" customFormat="false" ht="23.85" hidden="false" customHeight="false" outlineLevel="0" collapsed="false">
      <c r="A19" s="2" t="s">
        <v>23</v>
      </c>
      <c r="B19" s="3" t="s">
        <v>355</v>
      </c>
      <c r="C19" s="2" t="s">
        <v>325</v>
      </c>
      <c r="D19" s="2" t="n">
        <v>1</v>
      </c>
      <c r="E19" s="2" t="s">
        <v>356</v>
      </c>
      <c r="F19" s="3" t="s">
        <v>357</v>
      </c>
      <c r="G19" s="2"/>
    </row>
    <row r="20" customFormat="false" ht="23.85" hidden="false" customHeight="false" outlineLevel="0" collapsed="false">
      <c r="A20" s="2" t="s">
        <v>24</v>
      </c>
      <c r="B20" s="3" t="s">
        <v>358</v>
      </c>
      <c r="C20" s="2" t="s">
        <v>359</v>
      </c>
      <c r="D20" s="2" t="n">
        <v>2</v>
      </c>
      <c r="E20" s="2" t="s">
        <v>360</v>
      </c>
      <c r="F20" s="3" t="s">
        <v>361</v>
      </c>
      <c r="G20" s="2"/>
    </row>
    <row r="21" customFormat="false" ht="23.85" hidden="false" customHeight="false" outlineLevel="0" collapsed="false">
      <c r="A21" s="2" t="s">
        <v>25</v>
      </c>
      <c r="B21" s="3" t="s">
        <v>362</v>
      </c>
      <c r="C21" s="2" t="s">
        <v>359</v>
      </c>
      <c r="D21" s="2" t="n">
        <v>2</v>
      </c>
      <c r="E21" s="2" t="s">
        <v>360</v>
      </c>
      <c r="F21" s="3" t="s">
        <v>361</v>
      </c>
      <c r="G21" s="2" t="s">
        <v>141</v>
      </c>
    </row>
    <row r="22" customFormat="false" ht="23.85" hidden="false" customHeight="false" outlineLevel="0" collapsed="false">
      <c r="A22" s="2" t="s">
        <v>26</v>
      </c>
      <c r="B22" s="3" t="s">
        <v>363</v>
      </c>
      <c r="C22" s="2" t="s">
        <v>359</v>
      </c>
      <c r="D22" s="2" t="n">
        <v>2</v>
      </c>
      <c r="E22" s="2" t="s">
        <v>360</v>
      </c>
      <c r="F22" s="3" t="s">
        <v>361</v>
      </c>
      <c r="G22" s="2"/>
    </row>
    <row r="23" customFormat="false" ht="23.85" hidden="false" customHeight="false" outlineLevel="0" collapsed="false">
      <c r="A23" s="2" t="s">
        <v>27</v>
      </c>
      <c r="B23" s="3" t="s">
        <v>364</v>
      </c>
      <c r="C23" s="2" t="s">
        <v>365</v>
      </c>
      <c r="D23" s="2" t="n">
        <v>2</v>
      </c>
      <c r="E23" s="2" t="s">
        <v>360</v>
      </c>
      <c r="F23" s="3" t="s">
        <v>361</v>
      </c>
      <c r="G23" s="2"/>
    </row>
    <row r="24" customFormat="false" ht="23.85" hidden="false" customHeight="false" outlineLevel="0" collapsed="false">
      <c r="A24" s="2" t="s">
        <v>28</v>
      </c>
      <c r="B24" s="3" t="s">
        <v>366</v>
      </c>
      <c r="C24" s="2" t="s">
        <v>365</v>
      </c>
      <c r="D24" s="2" t="n">
        <v>2</v>
      </c>
      <c r="E24" s="2" t="s">
        <v>360</v>
      </c>
      <c r="F24" s="3" t="s">
        <v>361</v>
      </c>
      <c r="G24" s="2" t="s">
        <v>141</v>
      </c>
    </row>
    <row r="25" customFormat="false" ht="23.85" hidden="false" customHeight="false" outlineLevel="0" collapsed="false">
      <c r="A25" s="2" t="s">
        <v>29</v>
      </c>
      <c r="B25" s="3" t="s">
        <v>367</v>
      </c>
      <c r="C25" s="2" t="s">
        <v>365</v>
      </c>
      <c r="D25" s="2" t="n">
        <v>2</v>
      </c>
      <c r="E25" s="2" t="s">
        <v>360</v>
      </c>
      <c r="F25" s="3" t="s">
        <v>361</v>
      </c>
      <c r="G25" s="2" t="s">
        <v>141</v>
      </c>
    </row>
    <row r="26" customFormat="false" ht="23.85" hidden="false" customHeight="false" outlineLevel="0" collapsed="false">
      <c r="A26" s="2" t="s">
        <v>30</v>
      </c>
      <c r="B26" s="3" t="s">
        <v>368</v>
      </c>
      <c r="C26" s="2" t="s">
        <v>365</v>
      </c>
      <c r="D26" s="2" t="n">
        <v>2</v>
      </c>
      <c r="E26" s="2" t="s">
        <v>360</v>
      </c>
      <c r="F26" s="3" t="s">
        <v>361</v>
      </c>
      <c r="G26" s="2"/>
    </row>
    <row r="27" customFormat="false" ht="23.85" hidden="false" customHeight="false" outlineLevel="0" collapsed="false">
      <c r="A27" s="2" t="s">
        <v>31</v>
      </c>
      <c r="B27" s="3" t="s">
        <v>369</v>
      </c>
      <c r="C27" s="2" t="s">
        <v>365</v>
      </c>
      <c r="D27" s="2" t="n">
        <v>2</v>
      </c>
      <c r="E27" s="2" t="s">
        <v>360</v>
      </c>
      <c r="F27" s="3" t="s">
        <v>361</v>
      </c>
      <c r="G27" s="2"/>
    </row>
    <row r="28" customFormat="false" ht="23.85" hidden="false" customHeight="false" outlineLevel="0" collapsed="false">
      <c r="A28" s="2" t="s">
        <v>32</v>
      </c>
      <c r="B28" s="3" t="s">
        <v>370</v>
      </c>
      <c r="C28" s="2" t="s">
        <v>365</v>
      </c>
      <c r="D28" s="2" t="n">
        <v>2</v>
      </c>
      <c r="E28" s="2" t="s">
        <v>360</v>
      </c>
      <c r="F28" s="3" t="s">
        <v>361</v>
      </c>
      <c r="G28" s="2" t="s">
        <v>141</v>
      </c>
    </row>
    <row r="29" customFormat="false" ht="23.85" hidden="false" customHeight="false" outlineLevel="0" collapsed="false">
      <c r="A29" s="2" t="s">
        <v>39</v>
      </c>
      <c r="B29" s="3" t="s">
        <v>371</v>
      </c>
      <c r="C29" s="2" t="s">
        <v>365</v>
      </c>
      <c r="D29" s="2" t="n">
        <v>2</v>
      </c>
      <c r="E29" s="2" t="s">
        <v>356</v>
      </c>
      <c r="F29" s="3" t="s">
        <v>372</v>
      </c>
      <c r="G29" s="2"/>
    </row>
    <row r="30" customFormat="false" ht="23.85" hidden="false" customHeight="false" outlineLevel="0" collapsed="false">
      <c r="A30" s="2" t="s">
        <v>40</v>
      </c>
      <c r="B30" s="3" t="s">
        <v>373</v>
      </c>
      <c r="C30" s="2" t="s">
        <v>374</v>
      </c>
      <c r="D30" s="2" t="n">
        <v>2</v>
      </c>
      <c r="E30" s="2" t="s">
        <v>360</v>
      </c>
      <c r="F30" s="3" t="s">
        <v>361</v>
      </c>
      <c r="G30" s="2"/>
    </row>
    <row r="31" customFormat="false" ht="23.85" hidden="false" customHeight="false" outlineLevel="0" collapsed="false">
      <c r="A31" s="2" t="s">
        <v>41</v>
      </c>
      <c r="B31" s="3" t="s">
        <v>375</v>
      </c>
      <c r="C31" s="2" t="s">
        <v>374</v>
      </c>
      <c r="D31" s="2" t="n">
        <v>2</v>
      </c>
      <c r="E31" s="2" t="s">
        <v>360</v>
      </c>
      <c r="F31" s="3" t="s">
        <v>361</v>
      </c>
      <c r="G31" s="2" t="s">
        <v>141</v>
      </c>
    </row>
    <row r="32" customFormat="false" ht="23.85" hidden="false" customHeight="false" outlineLevel="0" collapsed="false">
      <c r="A32" s="2" t="s">
        <v>42</v>
      </c>
      <c r="B32" s="3" t="s">
        <v>376</v>
      </c>
      <c r="C32" s="2" t="s">
        <v>374</v>
      </c>
      <c r="D32" s="2" t="n">
        <v>2</v>
      </c>
      <c r="E32" s="2" t="s">
        <v>360</v>
      </c>
      <c r="F32" s="3" t="s">
        <v>361</v>
      </c>
      <c r="G32" s="2"/>
    </row>
    <row r="33" customFormat="false" ht="23.85" hidden="false" customHeight="false" outlineLevel="0" collapsed="false">
      <c r="A33" s="2" t="s">
        <v>43</v>
      </c>
      <c r="B33" s="3" t="s">
        <v>377</v>
      </c>
      <c r="C33" s="2" t="s">
        <v>374</v>
      </c>
      <c r="D33" s="2" t="n">
        <v>2</v>
      </c>
      <c r="E33" s="2" t="s">
        <v>360</v>
      </c>
      <c r="F33" s="3" t="s">
        <v>361</v>
      </c>
      <c r="G33" s="2"/>
    </row>
    <row r="34" customFormat="false" ht="23.85" hidden="false" customHeight="false" outlineLevel="0" collapsed="false">
      <c r="A34" s="2" t="s">
        <v>44</v>
      </c>
      <c r="B34" s="3" t="s">
        <v>378</v>
      </c>
      <c r="C34" s="2" t="s">
        <v>374</v>
      </c>
      <c r="D34" s="2" t="n">
        <v>2</v>
      </c>
      <c r="E34" s="2" t="s">
        <v>360</v>
      </c>
      <c r="F34" s="3" t="s">
        <v>361</v>
      </c>
      <c r="G34" s="2"/>
    </row>
    <row r="35" customFormat="false" ht="23.85" hidden="false" customHeight="false" outlineLevel="0" collapsed="false">
      <c r="A35" s="2" t="s">
        <v>45</v>
      </c>
      <c r="B35" s="3" t="s">
        <v>379</v>
      </c>
      <c r="C35" s="2" t="s">
        <v>374</v>
      </c>
      <c r="D35" s="2" t="n">
        <v>2</v>
      </c>
      <c r="E35" s="2" t="s">
        <v>360</v>
      </c>
      <c r="F35" s="3" t="s">
        <v>361</v>
      </c>
      <c r="G35" s="2"/>
    </row>
    <row r="36" customFormat="false" ht="23.85" hidden="false" customHeight="false" outlineLevel="0" collapsed="false">
      <c r="A36" s="2" t="s">
        <v>46</v>
      </c>
      <c r="B36" s="3" t="s">
        <v>380</v>
      </c>
      <c r="C36" s="2" t="s">
        <v>374</v>
      </c>
      <c r="D36" s="2" t="n">
        <v>2</v>
      </c>
      <c r="E36" s="2" t="s">
        <v>360</v>
      </c>
      <c r="F36" s="3" t="s">
        <v>361</v>
      </c>
      <c r="G36" s="2"/>
    </row>
    <row r="37" customFormat="false" ht="46.25" hidden="false" customHeight="false" outlineLevel="0" collapsed="false">
      <c r="A37" s="2" t="s">
        <v>52</v>
      </c>
      <c r="B37" s="3" t="s">
        <v>381</v>
      </c>
      <c r="C37" s="2" t="s">
        <v>382</v>
      </c>
      <c r="D37" s="2" t="n">
        <v>2</v>
      </c>
      <c r="E37" s="2" t="s">
        <v>356</v>
      </c>
      <c r="F37" s="3" t="s">
        <v>383</v>
      </c>
      <c r="G37" s="2"/>
    </row>
    <row r="38" customFormat="false" ht="23.85" hidden="false" customHeight="false" outlineLevel="0" collapsed="false">
      <c r="A38" s="2" t="s">
        <v>53</v>
      </c>
      <c r="B38" s="3" t="s">
        <v>384</v>
      </c>
      <c r="C38" s="2" t="s">
        <v>382</v>
      </c>
      <c r="D38" s="2" t="n">
        <v>2</v>
      </c>
      <c r="E38" s="2" t="s">
        <v>330</v>
      </c>
      <c r="F38" s="3" t="s">
        <v>385</v>
      </c>
      <c r="G38" s="2"/>
    </row>
    <row r="39" customFormat="false" ht="23.85" hidden="false" customHeight="false" outlineLevel="0" collapsed="false">
      <c r="A39" s="2" t="s">
        <v>54</v>
      </c>
      <c r="B39" s="3" t="s">
        <v>386</v>
      </c>
      <c r="C39" s="2" t="s">
        <v>382</v>
      </c>
      <c r="D39" s="2" t="n">
        <v>2</v>
      </c>
      <c r="E39" s="2" t="s">
        <v>360</v>
      </c>
      <c r="F39" s="3" t="s">
        <v>361</v>
      </c>
      <c r="G39" s="2"/>
    </row>
    <row r="40" customFormat="false" ht="23.85" hidden="false" customHeight="false" outlineLevel="0" collapsed="false">
      <c r="A40" s="2" t="s">
        <v>55</v>
      </c>
      <c r="B40" s="3" t="s">
        <v>387</v>
      </c>
      <c r="C40" s="2" t="s">
        <v>382</v>
      </c>
      <c r="D40" s="2" t="n">
        <v>2</v>
      </c>
      <c r="E40" s="2" t="s">
        <v>360</v>
      </c>
      <c r="F40" s="3" t="s">
        <v>361</v>
      </c>
      <c r="G40" s="2"/>
    </row>
    <row r="41" customFormat="false" ht="23.85" hidden="false" customHeight="false" outlineLevel="0" collapsed="false">
      <c r="A41" s="2" t="s">
        <v>56</v>
      </c>
      <c r="B41" s="3" t="s">
        <v>388</v>
      </c>
      <c r="C41" s="2" t="s">
        <v>382</v>
      </c>
      <c r="D41" s="2" t="n">
        <v>2</v>
      </c>
      <c r="E41" s="2" t="s">
        <v>360</v>
      </c>
      <c r="F41" s="3" t="s">
        <v>361</v>
      </c>
      <c r="G41" s="2"/>
    </row>
    <row r="42" customFormat="false" ht="23.85" hidden="false" customHeight="false" outlineLevel="0" collapsed="false">
      <c r="A42" s="2" t="s">
        <v>57</v>
      </c>
      <c r="B42" s="3" t="s">
        <v>389</v>
      </c>
      <c r="C42" s="2" t="s">
        <v>382</v>
      </c>
      <c r="D42" s="2" t="n">
        <v>3</v>
      </c>
      <c r="E42" s="2" t="s">
        <v>360</v>
      </c>
      <c r="F42" s="3" t="s">
        <v>361</v>
      </c>
      <c r="G42" s="2"/>
    </row>
    <row r="43" customFormat="false" ht="23.85" hidden="false" customHeight="false" outlineLevel="0" collapsed="false">
      <c r="A43" s="2" t="s">
        <v>58</v>
      </c>
      <c r="B43" s="3" t="s">
        <v>390</v>
      </c>
      <c r="C43" s="2" t="s">
        <v>382</v>
      </c>
      <c r="D43" s="2" t="n">
        <v>3</v>
      </c>
      <c r="E43" s="2" t="s">
        <v>360</v>
      </c>
      <c r="F43" s="3" t="s">
        <v>361</v>
      </c>
      <c r="G43" s="2" t="s">
        <v>141</v>
      </c>
    </row>
    <row r="44" customFormat="false" ht="23.85" hidden="false" customHeight="false" outlineLevel="0" collapsed="false">
      <c r="A44" s="2" t="s">
        <v>59</v>
      </c>
      <c r="B44" s="3" t="s">
        <v>391</v>
      </c>
      <c r="C44" s="2" t="s">
        <v>382</v>
      </c>
      <c r="D44" s="2" t="n">
        <v>3</v>
      </c>
      <c r="E44" s="2" t="s">
        <v>360</v>
      </c>
      <c r="F44" s="3" t="s">
        <v>361</v>
      </c>
      <c r="G44" s="2"/>
    </row>
    <row r="45" customFormat="false" ht="23.85" hidden="false" customHeight="false" outlineLevel="0" collapsed="false">
      <c r="A45" s="2" t="s">
        <v>60</v>
      </c>
      <c r="B45" s="3" t="s">
        <v>392</v>
      </c>
      <c r="C45" s="2" t="s">
        <v>382</v>
      </c>
      <c r="D45" s="2" t="n">
        <v>3</v>
      </c>
      <c r="E45" s="2" t="s">
        <v>360</v>
      </c>
      <c r="F45" s="3" t="s">
        <v>361</v>
      </c>
      <c r="G45" s="2"/>
    </row>
    <row r="46" customFormat="false" ht="23.85" hidden="false" customHeight="false" outlineLevel="0" collapsed="false">
      <c r="A46" s="2" t="s">
        <v>61</v>
      </c>
      <c r="B46" s="3" t="s">
        <v>393</v>
      </c>
      <c r="C46" s="2" t="s">
        <v>382</v>
      </c>
      <c r="D46" s="2" t="n">
        <v>3</v>
      </c>
      <c r="E46" s="2" t="s">
        <v>360</v>
      </c>
      <c r="F46" s="3" t="s">
        <v>361</v>
      </c>
      <c r="G46" s="2"/>
    </row>
    <row r="47" customFormat="false" ht="23.85" hidden="false" customHeight="false" outlineLevel="0" collapsed="false">
      <c r="A47" s="2" t="s">
        <v>62</v>
      </c>
      <c r="B47" s="3" t="s">
        <v>394</v>
      </c>
      <c r="C47" s="2" t="s">
        <v>395</v>
      </c>
      <c r="D47" s="2" t="n">
        <v>3</v>
      </c>
      <c r="E47" s="2" t="s">
        <v>360</v>
      </c>
      <c r="F47" s="3" t="s">
        <v>361</v>
      </c>
      <c r="G47" s="2" t="s">
        <v>141</v>
      </c>
    </row>
    <row r="48" customFormat="false" ht="23.85" hidden="false" customHeight="false" outlineLevel="0" collapsed="false">
      <c r="A48" s="2" t="s">
        <v>63</v>
      </c>
      <c r="B48" s="3" t="s">
        <v>396</v>
      </c>
      <c r="C48" s="2" t="s">
        <v>395</v>
      </c>
      <c r="D48" s="2" t="n">
        <v>3</v>
      </c>
      <c r="E48" s="2" t="s">
        <v>360</v>
      </c>
      <c r="F48" s="3" t="s">
        <v>361</v>
      </c>
      <c r="G48" s="2" t="s">
        <v>141</v>
      </c>
    </row>
    <row r="49" customFormat="false" ht="23.85" hidden="false" customHeight="false" outlineLevel="0" collapsed="false">
      <c r="A49" s="2" t="s">
        <v>64</v>
      </c>
      <c r="B49" s="3" t="s">
        <v>397</v>
      </c>
      <c r="C49" s="2" t="s">
        <v>395</v>
      </c>
      <c r="D49" s="2" t="n">
        <v>3</v>
      </c>
      <c r="E49" s="2" t="s">
        <v>360</v>
      </c>
      <c r="F49" s="3" t="s">
        <v>361</v>
      </c>
      <c r="G49" s="2" t="s">
        <v>141</v>
      </c>
    </row>
    <row r="50" customFormat="false" ht="23.85" hidden="false" customHeight="false" outlineLevel="0" collapsed="false">
      <c r="A50" s="2" t="s">
        <v>65</v>
      </c>
      <c r="B50" s="3" t="s">
        <v>398</v>
      </c>
      <c r="C50" s="2" t="s">
        <v>395</v>
      </c>
      <c r="D50" s="2" t="n">
        <v>3</v>
      </c>
      <c r="E50" s="2" t="s">
        <v>360</v>
      </c>
      <c r="F50" s="3" t="s">
        <v>361</v>
      </c>
      <c r="G50" s="2" t="s">
        <v>141</v>
      </c>
    </row>
    <row r="51" customFormat="false" ht="23.85" hidden="false" customHeight="false" outlineLevel="0" collapsed="false">
      <c r="A51" s="2" t="s">
        <v>66</v>
      </c>
      <c r="B51" s="3" t="s">
        <v>399</v>
      </c>
      <c r="C51" s="2" t="s">
        <v>395</v>
      </c>
      <c r="D51" s="2" t="n">
        <v>3</v>
      </c>
      <c r="E51" s="2" t="s">
        <v>360</v>
      </c>
      <c r="F51" s="3" t="s">
        <v>361</v>
      </c>
      <c r="G51" s="2" t="s">
        <v>141</v>
      </c>
    </row>
    <row r="52" customFormat="false" ht="23.85" hidden="false" customHeight="false" outlineLevel="0" collapsed="false">
      <c r="A52" s="2" t="s">
        <v>67</v>
      </c>
      <c r="B52" s="3" t="s">
        <v>400</v>
      </c>
      <c r="C52" s="2" t="s">
        <v>395</v>
      </c>
      <c r="D52" s="2" t="n">
        <v>3</v>
      </c>
      <c r="E52" s="2" t="s">
        <v>360</v>
      </c>
      <c r="F52" s="3" t="s">
        <v>361</v>
      </c>
      <c r="G52" s="2" t="s">
        <v>141</v>
      </c>
    </row>
    <row r="53" customFormat="false" ht="23.85" hidden="false" customHeight="false" outlineLevel="0" collapsed="false">
      <c r="A53" s="2" t="s">
        <v>68</v>
      </c>
      <c r="B53" s="3" t="s">
        <v>401</v>
      </c>
      <c r="C53" s="2" t="s">
        <v>395</v>
      </c>
      <c r="D53" s="2" t="n">
        <v>3</v>
      </c>
      <c r="E53" s="2" t="s">
        <v>360</v>
      </c>
      <c r="F53" s="3" t="s">
        <v>361</v>
      </c>
      <c r="G53" s="2" t="s">
        <v>141</v>
      </c>
    </row>
    <row r="54" customFormat="false" ht="23.85" hidden="false" customHeight="false" outlineLevel="0" collapsed="false">
      <c r="A54" s="2" t="s">
        <v>69</v>
      </c>
      <c r="B54" s="3" t="s">
        <v>402</v>
      </c>
      <c r="C54" s="2" t="s">
        <v>403</v>
      </c>
      <c r="D54" s="2" t="n">
        <v>3</v>
      </c>
      <c r="E54" s="2" t="s">
        <v>360</v>
      </c>
      <c r="F54" s="3" t="s">
        <v>361</v>
      </c>
      <c r="G54" s="2"/>
    </row>
    <row r="55" customFormat="false" ht="23.85" hidden="false" customHeight="false" outlineLevel="0" collapsed="false">
      <c r="A55" s="2" t="s">
        <v>70</v>
      </c>
      <c r="B55" s="3" t="s">
        <v>404</v>
      </c>
      <c r="C55" s="2" t="s">
        <v>403</v>
      </c>
      <c r="D55" s="2" t="n">
        <v>3</v>
      </c>
      <c r="E55" s="2" t="s">
        <v>360</v>
      </c>
      <c r="F55" s="3" t="s">
        <v>361</v>
      </c>
      <c r="G55" s="2"/>
    </row>
    <row r="56" customFormat="false" ht="23.85" hidden="false" customHeight="false" outlineLevel="0" collapsed="false">
      <c r="A56" s="2" t="s">
        <v>71</v>
      </c>
      <c r="B56" s="3" t="s">
        <v>405</v>
      </c>
      <c r="C56" s="2" t="s">
        <v>403</v>
      </c>
      <c r="D56" s="2" t="n">
        <v>3</v>
      </c>
      <c r="E56" s="2" t="s">
        <v>360</v>
      </c>
      <c r="F56" s="3" t="s">
        <v>361</v>
      </c>
      <c r="G56" s="2"/>
    </row>
    <row r="57" customFormat="false" ht="23.85" hidden="false" customHeight="false" outlineLevel="0" collapsed="false">
      <c r="A57" s="2" t="s">
        <v>72</v>
      </c>
      <c r="B57" s="3" t="s">
        <v>406</v>
      </c>
      <c r="C57" s="2" t="s">
        <v>403</v>
      </c>
      <c r="D57" s="2" t="n">
        <v>3</v>
      </c>
      <c r="E57" s="2" t="s">
        <v>360</v>
      </c>
      <c r="F57" s="3" t="s">
        <v>361</v>
      </c>
      <c r="G57" s="2"/>
    </row>
    <row r="58" customFormat="false" ht="23.85" hidden="false" customHeight="false" outlineLevel="0" collapsed="false">
      <c r="A58" s="2" t="s">
        <v>73</v>
      </c>
      <c r="B58" s="3" t="s">
        <v>407</v>
      </c>
      <c r="C58" s="2" t="s">
        <v>408</v>
      </c>
      <c r="D58" s="2" t="n">
        <v>3</v>
      </c>
      <c r="E58" s="2" t="s">
        <v>360</v>
      </c>
      <c r="F58" s="3" t="s">
        <v>361</v>
      </c>
      <c r="G58" s="2"/>
    </row>
    <row r="59" customFormat="false" ht="23.85" hidden="false" customHeight="false" outlineLevel="0" collapsed="false">
      <c r="A59" s="2" t="s">
        <v>74</v>
      </c>
      <c r="B59" s="3" t="s">
        <v>409</v>
      </c>
      <c r="C59" s="2" t="s">
        <v>408</v>
      </c>
      <c r="D59" s="2" t="n">
        <v>3</v>
      </c>
      <c r="E59" s="2" t="s">
        <v>360</v>
      </c>
      <c r="F59" s="3" t="s">
        <v>361</v>
      </c>
      <c r="G59" s="2"/>
    </row>
    <row r="60" customFormat="false" ht="23.85" hidden="false" customHeight="false" outlineLevel="0" collapsed="false">
      <c r="A60" s="2" t="s">
        <v>75</v>
      </c>
      <c r="B60" s="3" t="s">
        <v>410</v>
      </c>
      <c r="C60" s="2" t="s">
        <v>408</v>
      </c>
      <c r="D60" s="2" t="n">
        <v>3</v>
      </c>
      <c r="E60" s="2" t="s">
        <v>360</v>
      </c>
      <c r="F60" s="3" t="s">
        <v>361</v>
      </c>
      <c r="G60" s="2"/>
    </row>
    <row r="61" customFormat="false" ht="23.85" hidden="false" customHeight="false" outlineLevel="0" collapsed="false">
      <c r="A61" s="2" t="s">
        <v>76</v>
      </c>
      <c r="B61" s="3" t="s">
        <v>411</v>
      </c>
      <c r="C61" s="2" t="s">
        <v>408</v>
      </c>
      <c r="D61" s="2" t="n">
        <v>3</v>
      </c>
      <c r="E61" s="2" t="s">
        <v>360</v>
      </c>
      <c r="F61" s="3" t="s">
        <v>361</v>
      </c>
      <c r="G61" s="2"/>
    </row>
    <row r="62" customFormat="false" ht="23.85" hidden="false" customHeight="false" outlineLevel="0" collapsed="false">
      <c r="A62" s="2" t="s">
        <v>77</v>
      </c>
      <c r="B62" s="3" t="s">
        <v>412</v>
      </c>
      <c r="C62" s="2" t="s">
        <v>408</v>
      </c>
      <c r="D62" s="2" t="n">
        <v>3</v>
      </c>
      <c r="E62" s="2" t="s">
        <v>360</v>
      </c>
      <c r="F62" s="3" t="s">
        <v>361</v>
      </c>
      <c r="G62" s="2"/>
    </row>
    <row r="63" customFormat="false" ht="15" hidden="false" customHeight="false" outlineLevel="0" collapsed="false">
      <c r="A63" s="2" t="s">
        <v>78</v>
      </c>
      <c r="B63" s="3" t="s">
        <v>413</v>
      </c>
      <c r="C63" s="2" t="s">
        <v>408</v>
      </c>
      <c r="D63" s="2" t="n">
        <v>3</v>
      </c>
      <c r="E63" s="2" t="s">
        <v>330</v>
      </c>
      <c r="F63" s="3" t="s">
        <v>414</v>
      </c>
      <c r="G63" s="2"/>
    </row>
    <row r="64" customFormat="false" ht="23.85" hidden="false" customHeight="false" outlineLevel="0" collapsed="false">
      <c r="A64" s="2" t="s">
        <v>83</v>
      </c>
      <c r="B64" s="3" t="s">
        <v>415</v>
      </c>
      <c r="C64" s="2" t="s">
        <v>408</v>
      </c>
      <c r="D64" s="2" t="n">
        <v>3</v>
      </c>
      <c r="E64" s="2" t="s">
        <v>356</v>
      </c>
      <c r="F64" s="3" t="s">
        <v>416</v>
      </c>
      <c r="G64" s="2"/>
    </row>
    <row r="65" customFormat="false" ht="23.85" hidden="false" customHeight="false" outlineLevel="0" collapsed="false">
      <c r="A65" s="2" t="s">
        <v>84</v>
      </c>
      <c r="B65" s="3" t="s">
        <v>417</v>
      </c>
      <c r="C65" s="2" t="s">
        <v>418</v>
      </c>
      <c r="D65" s="2" t="n">
        <v>4</v>
      </c>
      <c r="E65" s="2" t="s">
        <v>360</v>
      </c>
      <c r="F65" s="3" t="s">
        <v>361</v>
      </c>
      <c r="G65" s="2"/>
    </row>
    <row r="66" customFormat="false" ht="23.85" hidden="false" customHeight="false" outlineLevel="0" collapsed="false">
      <c r="A66" s="2" t="s">
        <v>85</v>
      </c>
      <c r="B66" s="3" t="s">
        <v>419</v>
      </c>
      <c r="C66" s="2" t="s">
        <v>418</v>
      </c>
      <c r="D66" s="2" t="n">
        <v>4</v>
      </c>
      <c r="E66" s="2" t="s">
        <v>360</v>
      </c>
      <c r="F66" s="3" t="s">
        <v>361</v>
      </c>
      <c r="G66" s="2"/>
    </row>
    <row r="67" customFormat="false" ht="23.85" hidden="false" customHeight="false" outlineLevel="0" collapsed="false">
      <c r="A67" s="2" t="s">
        <v>86</v>
      </c>
      <c r="B67" s="3" t="s">
        <v>420</v>
      </c>
      <c r="C67" s="2" t="s">
        <v>418</v>
      </c>
      <c r="D67" s="2" t="n">
        <v>4</v>
      </c>
      <c r="E67" s="2" t="s">
        <v>360</v>
      </c>
      <c r="F67" s="3" t="s">
        <v>361</v>
      </c>
      <c r="G67" s="2"/>
    </row>
    <row r="68" customFormat="false" ht="23.85" hidden="false" customHeight="false" outlineLevel="0" collapsed="false">
      <c r="A68" s="2" t="s">
        <v>87</v>
      </c>
      <c r="B68" s="3" t="s">
        <v>421</v>
      </c>
      <c r="C68" s="2" t="s">
        <v>418</v>
      </c>
      <c r="D68" s="2" t="n">
        <v>4</v>
      </c>
      <c r="E68" s="2" t="s">
        <v>360</v>
      </c>
      <c r="F68" s="3" t="s">
        <v>361</v>
      </c>
      <c r="G68" s="2"/>
    </row>
    <row r="69" customFormat="false" ht="23.85" hidden="false" customHeight="false" outlineLevel="0" collapsed="false">
      <c r="A69" s="2" t="s">
        <v>88</v>
      </c>
      <c r="B69" s="3" t="s">
        <v>422</v>
      </c>
      <c r="C69" s="2" t="s">
        <v>423</v>
      </c>
      <c r="D69" s="2" t="n">
        <v>4</v>
      </c>
      <c r="E69" s="2" t="s">
        <v>330</v>
      </c>
      <c r="F69" s="3" t="s">
        <v>424</v>
      </c>
      <c r="G69" s="2"/>
    </row>
    <row r="70" customFormat="false" ht="35.05" hidden="false" customHeight="false" outlineLevel="0" collapsed="false">
      <c r="A70" s="2" t="s">
        <v>89</v>
      </c>
      <c r="B70" s="3" t="s">
        <v>425</v>
      </c>
      <c r="C70" s="2" t="s">
        <v>423</v>
      </c>
      <c r="D70" s="2" t="n">
        <v>4</v>
      </c>
      <c r="E70" s="2" t="s">
        <v>330</v>
      </c>
      <c r="F70" s="3" t="s">
        <v>426</v>
      </c>
      <c r="G70" s="2"/>
    </row>
    <row r="71" customFormat="false" ht="23.85" hidden="false" customHeight="false" outlineLevel="0" collapsed="false">
      <c r="A71" s="2" t="s">
        <v>90</v>
      </c>
      <c r="B71" s="3" t="s">
        <v>427</v>
      </c>
      <c r="C71" s="2" t="s">
        <v>423</v>
      </c>
      <c r="D71" s="2" t="n">
        <v>4</v>
      </c>
      <c r="E71" s="2" t="s">
        <v>330</v>
      </c>
      <c r="F71" s="3" t="s">
        <v>428</v>
      </c>
      <c r="G71" s="2"/>
    </row>
    <row r="72" customFormat="false" ht="23.85" hidden="false" customHeight="false" outlineLevel="0" collapsed="false">
      <c r="A72" s="2" t="s">
        <v>91</v>
      </c>
      <c r="B72" s="3" t="s">
        <v>429</v>
      </c>
      <c r="C72" s="2" t="s">
        <v>423</v>
      </c>
      <c r="D72" s="2" t="n">
        <v>4</v>
      </c>
      <c r="E72" s="2" t="s">
        <v>326</v>
      </c>
      <c r="F72" s="3"/>
      <c r="G72" s="2"/>
    </row>
    <row r="73" customFormat="false" ht="23.85" hidden="false" customHeight="false" outlineLevel="0" collapsed="false">
      <c r="A73" s="2" t="s">
        <v>92</v>
      </c>
      <c r="B73" s="3" t="s">
        <v>430</v>
      </c>
      <c r="C73" s="2" t="s">
        <v>423</v>
      </c>
      <c r="D73" s="2" t="n">
        <v>4</v>
      </c>
      <c r="E73" s="2" t="s">
        <v>326</v>
      </c>
      <c r="F73" s="3"/>
      <c r="G73" s="2"/>
    </row>
    <row r="74" customFormat="false" ht="15" hidden="false" customHeight="false" outlineLevel="0" collapsed="false">
      <c r="A74" s="2" t="s">
        <v>93</v>
      </c>
      <c r="B74" s="3" t="s">
        <v>431</v>
      </c>
      <c r="C74" s="2" t="s">
        <v>423</v>
      </c>
      <c r="D74" s="2" t="n">
        <v>4</v>
      </c>
      <c r="E74" s="2" t="s">
        <v>326</v>
      </c>
      <c r="F74" s="3"/>
      <c r="G74" s="2"/>
    </row>
    <row r="75" customFormat="false" ht="15" hidden="false" customHeight="false" outlineLevel="0" collapsed="false">
      <c r="A75" s="2" t="s">
        <v>94</v>
      </c>
      <c r="B75" s="3" t="s">
        <v>432</v>
      </c>
      <c r="C75" s="2" t="s">
        <v>423</v>
      </c>
      <c r="D75" s="2" t="n">
        <v>4</v>
      </c>
      <c r="E75" s="2" t="s">
        <v>326</v>
      </c>
      <c r="F75" s="3"/>
      <c r="G7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5" min="2" style="0" width="10"/>
    <col collapsed="false" customWidth="true" hidden="false" outlineLevel="0" max="54" min="46" style="0" width="13"/>
  </cols>
  <sheetData>
    <row r="1" customFormat="false" ht="31.5" hidden="false" customHeight="true" outlineLevel="0" collapsed="false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433</v>
      </c>
      <c r="AU1" s="1" t="s">
        <v>434</v>
      </c>
      <c r="AV1" s="1" t="s">
        <v>435</v>
      </c>
      <c r="AW1" s="1" t="s">
        <v>436</v>
      </c>
      <c r="AX1" s="1" t="s">
        <v>437</v>
      </c>
      <c r="AY1" s="1" t="s">
        <v>438</v>
      </c>
      <c r="AZ1" s="1" t="s">
        <v>439</v>
      </c>
      <c r="BA1" s="1" t="s">
        <v>440</v>
      </c>
      <c r="BB1" s="1" t="s">
        <v>441</v>
      </c>
    </row>
    <row r="2" customFormat="false" ht="15" hidden="false" customHeight="false" outlineLevel="0" collapsed="false">
      <c r="A2" s="2" t="n">
        <f aca="false">'Données brutes'!A2</f>
        <v>1</v>
      </c>
      <c r="B2" s="2" t="str">
        <f aca="false">IF('Données brutes'!Y2="","",'Données brutes'!Y2)</f>
        <v/>
      </c>
      <c r="C2" s="2" t="str">
        <f aca="false">IF('Données brutes'!Z2="","",6-'Données brutes'!Z2)</f>
        <v/>
      </c>
      <c r="D2" s="2" t="str">
        <f aca="false">IF('Données brutes'!AA2="","",'Données brutes'!AA2)</f>
        <v/>
      </c>
      <c r="E2" s="2" t="n">
        <f aca="false">IF('Données brutes'!AB2="","",'Données brutes'!AB2)</f>
        <v>4</v>
      </c>
      <c r="F2" s="2" t="n">
        <f aca="false">IF('Données brutes'!AC2="","",6-'Données brutes'!AC2)</f>
        <v>1</v>
      </c>
      <c r="G2" s="2" t="n">
        <f aca="false">IF('Données brutes'!AD2="","",6-'Données brutes'!AD2)</f>
        <v>2</v>
      </c>
      <c r="H2" s="2" t="n">
        <f aca="false">IF('Données brutes'!AE2="","",'Données brutes'!AE2)</f>
        <v>4</v>
      </c>
      <c r="I2" s="2" t="n">
        <f aca="false">IF('Données brutes'!AF2="","",'Données brutes'!AF2)</f>
        <v>3</v>
      </c>
      <c r="J2" s="2" t="n">
        <f aca="false">IF('Données brutes'!AG2="","",6-'Données brutes'!AG2)</f>
        <v>4</v>
      </c>
      <c r="K2" s="2" t="n">
        <f aca="false">IF('Données brutes'!AO2="","",'Données brutes'!AO2)</f>
        <v>1</v>
      </c>
      <c r="L2" s="2" t="n">
        <f aca="false">IF('Données brutes'!AP2="","",6-'Données brutes'!AP2)</f>
        <v>1</v>
      </c>
      <c r="M2" s="2" t="n">
        <f aca="false">IF('Données brutes'!AQ2="","",'Données brutes'!AQ2)</f>
        <v>3</v>
      </c>
      <c r="N2" s="2" t="n">
        <f aca="false">IF('Données brutes'!AR2="","",'Données brutes'!AR2)</f>
        <v>4</v>
      </c>
      <c r="O2" s="2" t="n">
        <f aca="false">IF('Données brutes'!AS2="","",'Données brutes'!AS2)</f>
        <v>4</v>
      </c>
      <c r="P2" s="2" t="n">
        <f aca="false">IF('Données brutes'!AT2="","",'Données brutes'!AT2)</f>
        <v>4</v>
      </c>
      <c r="Q2" s="2" t="n">
        <f aca="false">IF('Données brutes'!AU2="","",'Données brutes'!AU2)</f>
        <v>2</v>
      </c>
      <c r="R2" s="2" t="n">
        <f aca="false">IF('Données brutes'!BC2="","",'Données brutes'!BC2)</f>
        <v>3</v>
      </c>
      <c r="S2" s="2" t="n">
        <f aca="false">IF('Données brutes'!BD2="","",'Données brutes'!BD2)</f>
        <v>2</v>
      </c>
      <c r="T2" s="2" t="n">
        <f aca="false">IF('Données brutes'!BE2="","",'Données brutes'!BE2)</f>
        <v>2</v>
      </c>
      <c r="U2" s="2" t="n">
        <f aca="false">IF('Données brutes'!BF2="","",'Données brutes'!BF2)</f>
        <v>4</v>
      </c>
      <c r="V2" s="2" t="n">
        <f aca="false">IF('Données brutes'!BG2="","",6-'Données brutes'!BG2)</f>
        <v>1</v>
      </c>
      <c r="W2" s="2" t="n">
        <f aca="false">IF('Données brutes'!BH2="","",'Données brutes'!BH2)</f>
        <v>4</v>
      </c>
      <c r="X2" s="2" t="n">
        <f aca="false">IF('Données brutes'!BI2="","",'Données brutes'!BI2)</f>
        <v>2</v>
      </c>
      <c r="Y2" s="2" t="n">
        <f aca="false">IF('Données brutes'!BJ2="","",'Données brutes'!BJ2)</f>
        <v>3</v>
      </c>
      <c r="Z2" s="2" t="n">
        <f aca="false">IF('Données brutes'!BK2="","",6-'Données brutes'!BK2)</f>
        <v>1</v>
      </c>
      <c r="AA2" s="2" t="n">
        <f aca="false">IF('Données brutes'!BL2="","",6-'Données brutes'!BL2)</f>
        <v>3</v>
      </c>
      <c r="AB2" s="2" t="n">
        <f aca="false">IF('Données brutes'!BM2="","",6-'Données brutes'!BM2)</f>
        <v>2</v>
      </c>
      <c r="AC2" s="2" t="n">
        <f aca="false">IF('Données brutes'!BN2="","",6-'Données brutes'!BN2)</f>
        <v>2</v>
      </c>
      <c r="AD2" s="2" t="n">
        <f aca="false">IF('Données brutes'!BO2="","",6-'Données brutes'!BO2)</f>
        <v>1</v>
      </c>
      <c r="AE2" s="2" t="n">
        <f aca="false">IF('Données brutes'!BP2="","",6-'Données brutes'!BP2)</f>
        <v>3</v>
      </c>
      <c r="AF2" s="2" t="n">
        <f aca="false">IF('Données brutes'!BQ2="","",6-'Données brutes'!BQ2)</f>
        <v>2</v>
      </c>
      <c r="AG2" s="2" t="n">
        <f aca="false">IF('Données brutes'!BR2="","",'Données brutes'!BR2)</f>
        <v>4</v>
      </c>
      <c r="AH2" s="2" t="n">
        <f aca="false">IF('Données brutes'!BS2="","",'Données brutes'!BS2)</f>
        <v>3</v>
      </c>
      <c r="AI2" s="2" t="n">
        <f aca="false">IF('Données brutes'!BT2="","",'Données brutes'!BT2)</f>
        <v>3</v>
      </c>
      <c r="AJ2" s="2" t="n">
        <f aca="false">IF('Données brutes'!BU2="","",'Données brutes'!BU2)</f>
        <v>3</v>
      </c>
      <c r="AK2" s="2" t="n">
        <f aca="false">IF('Données brutes'!BV2="","",'Données brutes'!BV2)</f>
        <v>5</v>
      </c>
      <c r="AL2" s="2" t="n">
        <f aca="false">IF('Données brutes'!BW2="","",'Données brutes'!BW2)</f>
        <v>4</v>
      </c>
      <c r="AM2" s="2" t="n">
        <f aca="false">IF('Données brutes'!BX2="","",'Données brutes'!BX2)</f>
        <v>3</v>
      </c>
      <c r="AN2" s="2" t="n">
        <f aca="false">IF('Données brutes'!BY2="","",'Données brutes'!BY2)</f>
        <v>2</v>
      </c>
      <c r="AO2" s="2" t="n">
        <f aca="false">IF('Données brutes'!BZ2="","",'Données brutes'!BZ2)</f>
        <v>4</v>
      </c>
      <c r="AP2" s="2" t="n">
        <f aca="false">IF('Données brutes'!CG2="","",'Données brutes'!CG2)</f>
        <v>3</v>
      </c>
      <c r="AQ2" s="2" t="n">
        <f aca="false">IF('Données brutes'!CH2="","",'Données brutes'!CH2)</f>
        <v>2</v>
      </c>
      <c r="AR2" s="2" t="n">
        <f aca="false">IF('Données brutes'!CI2="","",'Données brutes'!CI2)</f>
        <v>3</v>
      </c>
      <c r="AS2" s="2" t="n">
        <f aca="false">IF('Données brutes'!CJ2="","",'Données brutes'!CJ2)</f>
        <v>5</v>
      </c>
      <c r="AT2" s="4" t="str">
        <f aca="false">IFERROR(AVERAGE(B2:D2),"")</f>
        <v/>
      </c>
      <c r="AU2" s="4" t="n">
        <f aca="false">IFERROR(AVERAGE(E2:J2),"")</f>
        <v>3</v>
      </c>
      <c r="AV2" s="4" t="n">
        <f aca="false">IFERROR(AVERAGE(K2:Q2),"")</f>
        <v>2.71428571428571</v>
      </c>
      <c r="AW2" s="4" t="n">
        <f aca="false">IFERROR(AVERAGE(R2:Y2),"")</f>
        <v>2.625</v>
      </c>
      <c r="AX2" s="4" t="n">
        <f aca="false">IFERROR(AVERAGE(Z2:AF2),"")</f>
        <v>2</v>
      </c>
      <c r="AY2" s="4" t="n">
        <f aca="false">IFERROR(AVERAGE(AG2:AJ2),"")</f>
        <v>3.25</v>
      </c>
      <c r="AZ2" s="4" t="n">
        <f aca="false">IFERROR(AVERAGE(AK2:AO2),"")</f>
        <v>3.6</v>
      </c>
      <c r="BA2" s="4" t="n">
        <f aca="false">IFERROR(AVERAGE(AP2:AS2),"")</f>
        <v>3.25</v>
      </c>
      <c r="BB2" s="4" t="n">
        <f aca="false">IFERROR(AVERAGE(B2:AS2),"")</f>
        <v>2.82926829268293</v>
      </c>
    </row>
    <row r="3" customFormat="false" ht="15" hidden="false" customHeight="false" outlineLevel="0" collapsed="false">
      <c r="A3" s="2" t="n">
        <f aca="false">'Données brutes'!A3</f>
        <v>2</v>
      </c>
      <c r="B3" s="2" t="n">
        <f aca="false">IF('Données brutes'!Y3="","",'Données brutes'!Y3)</f>
        <v>1</v>
      </c>
      <c r="C3" s="2" t="n">
        <f aca="false">IF('Données brutes'!Z3="","",6-'Données brutes'!Z3)</f>
        <v>1</v>
      </c>
      <c r="D3" s="2" t="n">
        <f aca="false">IF('Données brutes'!AA3="","",'Données brutes'!AA3)</f>
        <v>4</v>
      </c>
      <c r="E3" s="2" t="n">
        <f aca="false">IF('Données brutes'!AB3="","",'Données brutes'!AB3)</f>
        <v>5</v>
      </c>
      <c r="F3" s="2" t="n">
        <f aca="false">IF('Données brutes'!AC3="","",6-'Données brutes'!AC3)</f>
        <v>4</v>
      </c>
      <c r="G3" s="2" t="n">
        <f aca="false">IF('Données brutes'!AD3="","",6-'Données brutes'!AD3)</f>
        <v>5</v>
      </c>
      <c r="H3" s="2" t="n">
        <f aca="false">IF('Données brutes'!AE3="","",'Données brutes'!AE3)</f>
        <v>4</v>
      </c>
      <c r="I3" s="2" t="n">
        <f aca="false">IF('Données brutes'!AF3="","",'Données brutes'!AF3)</f>
        <v>3</v>
      </c>
      <c r="J3" s="2" t="n">
        <f aca="false">IF('Données brutes'!AG3="","",6-'Données brutes'!AG3)</f>
        <v>3</v>
      </c>
      <c r="K3" s="2" t="n">
        <f aca="false">IF('Données brutes'!AO3="","",'Données brutes'!AO3)</f>
        <v>4</v>
      </c>
      <c r="L3" s="2" t="n">
        <f aca="false">IF('Données brutes'!AP3="","",6-'Données brutes'!AP3)</f>
        <v>1</v>
      </c>
      <c r="M3" s="2" t="n">
        <f aca="false">IF('Données brutes'!AQ3="","",'Données brutes'!AQ3)</f>
        <v>3</v>
      </c>
      <c r="N3" s="2" t="n">
        <f aca="false">IF('Données brutes'!AR3="","",'Données brutes'!AR3)</f>
        <v>4</v>
      </c>
      <c r="O3" s="2" t="n">
        <f aca="false">IF('Données brutes'!AS3="","",'Données brutes'!AS3)</f>
        <v>3</v>
      </c>
      <c r="P3" s="2" t="n">
        <f aca="false">IF('Données brutes'!AT3="","",'Données brutes'!AT3)</f>
        <v>2</v>
      </c>
      <c r="Q3" s="2" t="n">
        <f aca="false">IF('Données brutes'!AU3="","",'Données brutes'!AU3)</f>
        <v>2</v>
      </c>
      <c r="R3" s="2" t="n">
        <f aca="false">IF('Données brutes'!BC3="","",'Données brutes'!BC3)</f>
        <v>3</v>
      </c>
      <c r="S3" s="2" t="n">
        <f aca="false">IF('Données brutes'!BD3="","",'Données brutes'!BD3)</f>
        <v>3</v>
      </c>
      <c r="T3" s="2" t="n">
        <f aca="false">IF('Données brutes'!BE3="","",'Données brutes'!BE3)</f>
        <v>1</v>
      </c>
      <c r="U3" s="2" t="n">
        <f aca="false">IF('Données brutes'!BF3="","",'Données brutes'!BF3)</f>
        <v>4</v>
      </c>
      <c r="V3" s="2" t="n">
        <f aca="false">IF('Données brutes'!BG3="","",6-'Données brutes'!BG3)</f>
        <v>2</v>
      </c>
      <c r="W3" s="2" t="n">
        <f aca="false">IF('Données brutes'!BH3="","",'Données brutes'!BH3)</f>
        <v>4</v>
      </c>
      <c r="X3" s="2" t="n">
        <f aca="false">IF('Données brutes'!BI3="","",'Données brutes'!BI3)</f>
        <v>5</v>
      </c>
      <c r="Y3" s="2" t="n">
        <f aca="false">IF('Données brutes'!BJ3="","",'Données brutes'!BJ3)</f>
        <v>2</v>
      </c>
      <c r="Z3" s="2" t="n">
        <f aca="false">IF('Données brutes'!BK3="","",6-'Données brutes'!BK3)</f>
        <v>2</v>
      </c>
      <c r="AA3" s="2" t="n">
        <f aca="false">IF('Données brutes'!BL3="","",6-'Données brutes'!BL3)</f>
        <v>4</v>
      </c>
      <c r="AB3" s="2" t="n">
        <f aca="false">IF('Données brutes'!BM3="","",6-'Données brutes'!BM3)</f>
        <v>1</v>
      </c>
      <c r="AC3" s="2" t="n">
        <f aca="false">IF('Données brutes'!BN3="","",6-'Données brutes'!BN3)</f>
        <v>4</v>
      </c>
      <c r="AD3" s="2" t="n">
        <f aca="false">IF('Données brutes'!BO3="","",6-'Données brutes'!BO3)</f>
        <v>3</v>
      </c>
      <c r="AE3" s="2" t="n">
        <f aca="false">IF('Données brutes'!BP3="","",6-'Données brutes'!BP3)</f>
        <v>3</v>
      </c>
      <c r="AF3" s="2" t="str">
        <f aca="false">IF('Données brutes'!BQ3="","",6-'Données brutes'!BQ3)</f>
        <v/>
      </c>
      <c r="AG3" s="2" t="n">
        <f aca="false">IF('Données brutes'!BR3="","",'Données brutes'!BR3)</f>
        <v>2</v>
      </c>
      <c r="AH3" s="2" t="n">
        <f aca="false">IF('Données brutes'!BS3="","",'Données brutes'!BS3)</f>
        <v>4</v>
      </c>
      <c r="AI3" s="2" t="n">
        <f aca="false">IF('Données brutes'!BT3="","",'Données brutes'!BT3)</f>
        <v>4</v>
      </c>
      <c r="AJ3" s="2" t="n">
        <f aca="false">IF('Données brutes'!BU3="","",'Données brutes'!BU3)</f>
        <v>5</v>
      </c>
      <c r="AK3" s="2" t="n">
        <f aca="false">IF('Données brutes'!BV3="","",'Données brutes'!BV3)</f>
        <v>1</v>
      </c>
      <c r="AL3" s="2" t="n">
        <f aca="false">IF('Données brutes'!BW3="","",'Données brutes'!BW3)</f>
        <v>3</v>
      </c>
      <c r="AM3" s="2" t="n">
        <f aca="false">IF('Données brutes'!BX3="","",'Données brutes'!BX3)</f>
        <v>4</v>
      </c>
      <c r="AN3" s="2" t="str">
        <f aca="false">IF('Données brutes'!BY3="","",'Données brutes'!BY3)</f>
        <v/>
      </c>
      <c r="AO3" s="2" t="n">
        <f aca="false">IF('Données brutes'!BZ3="","",'Données brutes'!BZ3)</f>
        <v>3</v>
      </c>
      <c r="AP3" s="2" t="n">
        <f aca="false">IF('Données brutes'!CG3="","",'Données brutes'!CG3)</f>
        <v>4</v>
      </c>
      <c r="AQ3" s="2" t="n">
        <f aca="false">IF('Données brutes'!CH3="","",'Données brutes'!CH3)</f>
        <v>3</v>
      </c>
      <c r="AR3" s="2" t="n">
        <f aca="false">IF('Données brutes'!CI3="","",'Données brutes'!CI3)</f>
        <v>3</v>
      </c>
      <c r="AS3" s="2" t="n">
        <f aca="false">IF('Données brutes'!CJ3="","",'Données brutes'!CJ3)</f>
        <v>3</v>
      </c>
      <c r="AT3" s="4" t="n">
        <f aca="false">IFERROR(AVERAGE(B3:D3),"")</f>
        <v>2</v>
      </c>
      <c r="AU3" s="4" t="n">
        <f aca="false">IFERROR(AVERAGE(E3:J3),"")</f>
        <v>4</v>
      </c>
      <c r="AV3" s="4" t="n">
        <f aca="false">IFERROR(AVERAGE(K3:Q3),"")</f>
        <v>2.71428571428571</v>
      </c>
      <c r="AW3" s="4" t="n">
        <f aca="false">IFERROR(AVERAGE(R3:Y3),"")</f>
        <v>3</v>
      </c>
      <c r="AX3" s="4" t="n">
        <f aca="false">IFERROR(AVERAGE(Z3:AF3),"")</f>
        <v>2.83333333333333</v>
      </c>
      <c r="AY3" s="4" t="n">
        <f aca="false">IFERROR(AVERAGE(AG3:AJ3),"")</f>
        <v>3.75</v>
      </c>
      <c r="AZ3" s="4" t="n">
        <f aca="false">IFERROR(AVERAGE(AK3:AO3),"")</f>
        <v>2.75</v>
      </c>
      <c r="BA3" s="4" t="n">
        <f aca="false">IFERROR(AVERAGE(AP3:AS3),"")</f>
        <v>3.25</v>
      </c>
      <c r="BB3" s="4" t="n">
        <f aca="false">IFERROR(AVERAGE(B3:AS3),"")</f>
        <v>3.07142857142857</v>
      </c>
    </row>
    <row r="4" customFormat="false" ht="15" hidden="false" customHeight="false" outlineLevel="0" collapsed="false">
      <c r="A4" s="2" t="n">
        <f aca="false">'Données brutes'!A4</f>
        <v>3</v>
      </c>
      <c r="B4" s="2" t="str">
        <f aca="false">IF('Données brutes'!Y4="","",'Données brutes'!Y4)</f>
        <v/>
      </c>
      <c r="C4" s="2" t="str">
        <f aca="false">IF('Données brutes'!Z4="","",6-'Données brutes'!Z4)</f>
        <v/>
      </c>
      <c r="D4" s="2" t="str">
        <f aca="false">IF('Données brutes'!AA4="","",'Données brutes'!AA4)</f>
        <v/>
      </c>
      <c r="E4" s="2" t="n">
        <f aca="false">IF('Données brutes'!AB4="","",'Données brutes'!AB4)</f>
        <v>3</v>
      </c>
      <c r="F4" s="2" t="n">
        <f aca="false">IF('Données brutes'!AC4="","",6-'Données brutes'!AC4)</f>
        <v>5</v>
      </c>
      <c r="G4" s="2" t="n">
        <f aca="false">IF('Données brutes'!AD4="","",6-'Données brutes'!AD4)</f>
        <v>4</v>
      </c>
      <c r="H4" s="2" t="n">
        <f aca="false">IF('Données brutes'!AE4="","",'Données brutes'!AE4)</f>
        <v>4</v>
      </c>
      <c r="I4" s="2" t="n">
        <f aca="false">IF('Données brutes'!AF4="","",'Données brutes'!AF4)</f>
        <v>5</v>
      </c>
      <c r="J4" s="2" t="n">
        <f aca="false">IF('Données brutes'!AG4="","",6-'Données brutes'!AG4)</f>
        <v>2</v>
      </c>
      <c r="K4" s="2" t="n">
        <f aca="false">IF('Données brutes'!AO4="","",'Données brutes'!AO4)</f>
        <v>5</v>
      </c>
      <c r="L4" s="2" t="n">
        <f aca="false">IF('Données brutes'!AP4="","",6-'Données brutes'!AP4)</f>
        <v>3</v>
      </c>
      <c r="M4" s="2" t="n">
        <f aca="false">IF('Données brutes'!AQ4="","",'Données brutes'!AQ4)</f>
        <v>5</v>
      </c>
      <c r="N4" s="2" t="n">
        <f aca="false">IF('Données brutes'!AR4="","",'Données brutes'!AR4)</f>
        <v>4</v>
      </c>
      <c r="O4" s="2" t="n">
        <f aca="false">IF('Données brutes'!AS4="","",'Données brutes'!AS4)</f>
        <v>5</v>
      </c>
      <c r="P4" s="2" t="n">
        <f aca="false">IF('Données brutes'!AT4="","",'Données brutes'!AT4)</f>
        <v>3</v>
      </c>
      <c r="Q4" s="2" t="n">
        <f aca="false">IF('Données brutes'!AU4="","",'Données brutes'!AU4)</f>
        <v>3</v>
      </c>
      <c r="R4" s="2" t="n">
        <f aca="false">IF('Données brutes'!BC4="","",'Données brutes'!BC4)</f>
        <v>1</v>
      </c>
      <c r="S4" s="2" t="n">
        <f aca="false">IF('Données brutes'!BD4="","",'Données brutes'!BD4)</f>
        <v>4</v>
      </c>
      <c r="T4" s="2" t="n">
        <f aca="false">IF('Données brutes'!BE4="","",'Données brutes'!BE4)</f>
        <v>5</v>
      </c>
      <c r="U4" s="2" t="n">
        <f aca="false">IF('Données brutes'!BF4="","",'Données brutes'!BF4)</f>
        <v>2</v>
      </c>
      <c r="V4" s="2" t="n">
        <f aca="false">IF('Données brutes'!BG4="","",6-'Données brutes'!BG4)</f>
        <v>1</v>
      </c>
      <c r="W4" s="2" t="n">
        <f aca="false">IF('Données brutes'!BH4="","",'Données brutes'!BH4)</f>
        <v>4</v>
      </c>
      <c r="X4" s="2" t="n">
        <f aca="false">IF('Données brutes'!BI4="","",'Données brutes'!BI4)</f>
        <v>2</v>
      </c>
      <c r="Y4" s="2" t="n">
        <f aca="false">IF('Données brutes'!BJ4="","",'Données brutes'!BJ4)</f>
        <v>1</v>
      </c>
      <c r="Z4" s="2" t="n">
        <f aca="false">IF('Données brutes'!BK4="","",6-'Données brutes'!BK4)</f>
        <v>3</v>
      </c>
      <c r="AA4" s="2" t="n">
        <f aca="false">IF('Données brutes'!BL4="","",6-'Données brutes'!BL4)</f>
        <v>3</v>
      </c>
      <c r="AB4" s="2" t="n">
        <f aca="false">IF('Données brutes'!BM4="","",6-'Données brutes'!BM4)</f>
        <v>1</v>
      </c>
      <c r="AC4" s="2" t="n">
        <f aca="false">IF('Données brutes'!BN4="","",6-'Données brutes'!BN4)</f>
        <v>4</v>
      </c>
      <c r="AD4" s="2" t="n">
        <f aca="false">IF('Données brutes'!BO4="","",6-'Données brutes'!BO4)</f>
        <v>3</v>
      </c>
      <c r="AE4" s="2" t="n">
        <f aca="false">IF('Données brutes'!BP4="","",6-'Données brutes'!BP4)</f>
        <v>2</v>
      </c>
      <c r="AF4" s="2" t="n">
        <f aca="false">IF('Données brutes'!BQ4="","",6-'Données brutes'!BQ4)</f>
        <v>1</v>
      </c>
      <c r="AG4" s="2" t="n">
        <f aca="false">IF('Données brutes'!BR4="","",'Données brutes'!BR4)</f>
        <v>3</v>
      </c>
      <c r="AH4" s="2" t="n">
        <f aca="false">IF('Données brutes'!BS4="","",'Données brutes'!BS4)</f>
        <v>2</v>
      </c>
      <c r="AI4" s="2" t="n">
        <f aca="false">IF('Données brutes'!BT4="","",'Données brutes'!BT4)</f>
        <v>3</v>
      </c>
      <c r="AJ4" s="2" t="n">
        <f aca="false">IF('Données brutes'!BU4="","",'Données brutes'!BU4)</f>
        <v>4</v>
      </c>
      <c r="AK4" s="2" t="n">
        <f aca="false">IF('Données brutes'!BV4="","",'Données brutes'!BV4)</f>
        <v>4</v>
      </c>
      <c r="AL4" s="2" t="n">
        <f aca="false">IF('Données brutes'!BW4="","",'Données brutes'!BW4)</f>
        <v>5</v>
      </c>
      <c r="AM4" s="2" t="n">
        <f aca="false">IF('Données brutes'!BX4="","",'Données brutes'!BX4)</f>
        <v>4</v>
      </c>
      <c r="AN4" s="2" t="n">
        <f aca="false">IF('Données brutes'!BY4="","",'Données brutes'!BY4)</f>
        <v>5</v>
      </c>
      <c r="AO4" s="2" t="n">
        <f aca="false">IF('Données brutes'!BZ4="","",'Données brutes'!BZ4)</f>
        <v>5</v>
      </c>
      <c r="AP4" s="2" t="n">
        <f aca="false">IF('Données brutes'!CG4="","",'Données brutes'!CG4)</f>
        <v>3</v>
      </c>
      <c r="AQ4" s="2" t="n">
        <f aca="false">IF('Données brutes'!CH4="","",'Données brutes'!CH4)</f>
        <v>4</v>
      </c>
      <c r="AR4" s="2" t="n">
        <f aca="false">IF('Données brutes'!CI4="","",'Données brutes'!CI4)</f>
        <v>4</v>
      </c>
      <c r="AS4" s="2" t="n">
        <f aca="false">IF('Données brutes'!CJ4="","",'Données brutes'!CJ4)</f>
        <v>2</v>
      </c>
      <c r="AT4" s="4" t="str">
        <f aca="false">IFERROR(AVERAGE(B4:D4),"")</f>
        <v/>
      </c>
      <c r="AU4" s="4" t="n">
        <f aca="false">IFERROR(AVERAGE(E4:J4),"")</f>
        <v>3.83333333333333</v>
      </c>
      <c r="AV4" s="4" t="n">
        <f aca="false">IFERROR(AVERAGE(K4:Q4),"")</f>
        <v>4</v>
      </c>
      <c r="AW4" s="4" t="n">
        <f aca="false">IFERROR(AVERAGE(R4:Y4),"")</f>
        <v>2.5</v>
      </c>
      <c r="AX4" s="4" t="n">
        <f aca="false">IFERROR(AVERAGE(Z4:AF4),"")</f>
        <v>2.42857142857143</v>
      </c>
      <c r="AY4" s="4" t="n">
        <f aca="false">IFERROR(AVERAGE(AG4:AJ4),"")</f>
        <v>3</v>
      </c>
      <c r="AZ4" s="4" t="n">
        <f aca="false">IFERROR(AVERAGE(AK4:AO4),"")</f>
        <v>4.6</v>
      </c>
      <c r="BA4" s="4" t="n">
        <f aca="false">IFERROR(AVERAGE(AP4:AS4),"")</f>
        <v>3.25</v>
      </c>
      <c r="BB4" s="4" t="n">
        <f aca="false">IFERROR(AVERAGE(B4:AS4),"")</f>
        <v>3.31707317073171</v>
      </c>
    </row>
    <row r="5" customFormat="false" ht="15" hidden="false" customHeight="false" outlineLevel="0" collapsed="false">
      <c r="A5" s="2" t="n">
        <f aca="false">'Données brutes'!A5</f>
        <v>4</v>
      </c>
      <c r="B5" s="2" t="str">
        <f aca="false">IF('Données brutes'!Y5="","",'Données brutes'!Y5)</f>
        <v/>
      </c>
      <c r="C5" s="2" t="str">
        <f aca="false">IF('Données brutes'!Z5="","",6-'Données brutes'!Z5)</f>
        <v/>
      </c>
      <c r="D5" s="2" t="str">
        <f aca="false">IF('Données brutes'!AA5="","",'Données brutes'!AA5)</f>
        <v/>
      </c>
      <c r="E5" s="2" t="n">
        <f aca="false">IF('Données brutes'!AB5="","",'Données brutes'!AB5)</f>
        <v>5</v>
      </c>
      <c r="F5" s="2" t="n">
        <f aca="false">IF('Données brutes'!AC5="","",6-'Données brutes'!AC5)</f>
        <v>1</v>
      </c>
      <c r="G5" s="2" t="n">
        <f aca="false">IF('Données brutes'!AD5="","",6-'Données brutes'!AD5)</f>
        <v>3</v>
      </c>
      <c r="H5" s="2" t="n">
        <f aca="false">IF('Données brutes'!AE5="","",'Données brutes'!AE5)</f>
        <v>1</v>
      </c>
      <c r="I5" s="2" t="n">
        <f aca="false">IF('Données brutes'!AF5="","",'Données brutes'!AF5)</f>
        <v>2</v>
      </c>
      <c r="J5" s="2" t="n">
        <f aca="false">IF('Données brutes'!AG5="","",6-'Données brutes'!AG5)</f>
        <v>4</v>
      </c>
      <c r="K5" s="2" t="n">
        <f aca="false">IF('Données brutes'!AO5="","",'Données brutes'!AO5)</f>
        <v>3</v>
      </c>
      <c r="L5" s="2" t="n">
        <f aca="false">IF('Données brutes'!AP5="","",6-'Données brutes'!AP5)</f>
        <v>2</v>
      </c>
      <c r="M5" s="2" t="n">
        <f aca="false">IF('Données brutes'!AQ5="","",'Données brutes'!AQ5)</f>
        <v>3</v>
      </c>
      <c r="N5" s="2" t="n">
        <f aca="false">IF('Données brutes'!AR5="","",'Données brutes'!AR5)</f>
        <v>2</v>
      </c>
      <c r="O5" s="2" t="n">
        <f aca="false">IF('Données brutes'!AS5="","",'Données brutes'!AS5)</f>
        <v>2</v>
      </c>
      <c r="P5" s="2" t="n">
        <f aca="false">IF('Données brutes'!AT5="","",'Données brutes'!AT5)</f>
        <v>2</v>
      </c>
      <c r="Q5" s="2" t="n">
        <f aca="false">IF('Données brutes'!AU5="","",'Données brutes'!AU5)</f>
        <v>4</v>
      </c>
      <c r="R5" s="2" t="n">
        <f aca="false">IF('Données brutes'!BC5="","",'Données brutes'!BC5)</f>
        <v>5</v>
      </c>
      <c r="S5" s="2" t="n">
        <f aca="false">IF('Données brutes'!BD5="","",'Données brutes'!BD5)</f>
        <v>2</v>
      </c>
      <c r="T5" s="2" t="n">
        <f aca="false">IF('Données brutes'!BE5="","",'Données brutes'!BE5)</f>
        <v>2</v>
      </c>
      <c r="U5" s="2" t="n">
        <f aca="false">IF('Données brutes'!BF5="","",'Données brutes'!BF5)</f>
        <v>4</v>
      </c>
      <c r="V5" s="2" t="n">
        <f aca="false">IF('Données brutes'!BG5="","",6-'Données brutes'!BG5)</f>
        <v>2</v>
      </c>
      <c r="W5" s="2" t="n">
        <f aca="false">IF('Données brutes'!BH5="","",'Données brutes'!BH5)</f>
        <v>3</v>
      </c>
      <c r="X5" s="2" t="n">
        <f aca="false">IF('Données brutes'!BI5="","",'Données brutes'!BI5)</f>
        <v>3</v>
      </c>
      <c r="Y5" s="2" t="str">
        <f aca="false">IF('Données brutes'!BJ5="","",'Données brutes'!BJ5)</f>
        <v/>
      </c>
      <c r="Z5" s="2" t="n">
        <f aca="false">IF('Données brutes'!BK5="","",6-'Données brutes'!BK5)</f>
        <v>4</v>
      </c>
      <c r="AA5" s="2" t="n">
        <f aca="false">IF('Données brutes'!BL5="","",6-'Données brutes'!BL5)</f>
        <v>2</v>
      </c>
      <c r="AB5" s="2" t="n">
        <f aca="false">IF('Données brutes'!BM5="","",6-'Données brutes'!BM5)</f>
        <v>5</v>
      </c>
      <c r="AC5" s="2" t="n">
        <f aca="false">IF('Données brutes'!BN5="","",6-'Données brutes'!BN5)</f>
        <v>4</v>
      </c>
      <c r="AD5" s="2" t="n">
        <f aca="false">IF('Données brutes'!BO5="","",6-'Données brutes'!BO5)</f>
        <v>3</v>
      </c>
      <c r="AE5" s="2" t="n">
        <f aca="false">IF('Données brutes'!BP5="","",6-'Données brutes'!BP5)</f>
        <v>5</v>
      </c>
      <c r="AF5" s="2" t="n">
        <f aca="false">IF('Données brutes'!BQ5="","",6-'Données brutes'!BQ5)</f>
        <v>3</v>
      </c>
      <c r="AG5" s="2" t="str">
        <f aca="false">IF('Données brutes'!BR5="","",'Données brutes'!BR5)</f>
        <v/>
      </c>
      <c r="AH5" s="2" t="n">
        <f aca="false">IF('Données brutes'!BS5="","",'Données brutes'!BS5)</f>
        <v>2</v>
      </c>
      <c r="AI5" s="2" t="n">
        <f aca="false">IF('Données brutes'!BT5="","",'Données brutes'!BT5)</f>
        <v>3</v>
      </c>
      <c r="AJ5" s="2" t="n">
        <f aca="false">IF('Données brutes'!BU5="","",'Données brutes'!BU5)</f>
        <v>5</v>
      </c>
      <c r="AK5" s="2" t="n">
        <f aca="false">IF('Données brutes'!BV5="","",'Données brutes'!BV5)</f>
        <v>4</v>
      </c>
      <c r="AL5" s="2" t="n">
        <f aca="false">IF('Données brutes'!BW5="","",'Données brutes'!BW5)</f>
        <v>3</v>
      </c>
      <c r="AM5" s="2" t="n">
        <f aca="false">IF('Données brutes'!BX5="","",'Données brutes'!BX5)</f>
        <v>5</v>
      </c>
      <c r="AN5" s="2" t="n">
        <f aca="false">IF('Données brutes'!BY5="","",'Données brutes'!BY5)</f>
        <v>5</v>
      </c>
      <c r="AO5" s="2" t="n">
        <f aca="false">IF('Données brutes'!BZ5="","",'Données brutes'!BZ5)</f>
        <v>4</v>
      </c>
      <c r="AP5" s="2" t="n">
        <f aca="false">IF('Données brutes'!CG5="","",'Données brutes'!CG5)</f>
        <v>2</v>
      </c>
      <c r="AQ5" s="2" t="n">
        <f aca="false">IF('Données brutes'!CH5="","",'Données brutes'!CH5)</f>
        <v>5</v>
      </c>
      <c r="AR5" s="2" t="n">
        <f aca="false">IF('Données brutes'!CI5="","",'Données brutes'!CI5)</f>
        <v>3</v>
      </c>
      <c r="AS5" s="2" t="n">
        <f aca="false">IF('Données brutes'!CJ5="","",'Données brutes'!CJ5)</f>
        <v>2</v>
      </c>
      <c r="AT5" s="4" t="str">
        <f aca="false">IFERROR(AVERAGE(B5:D5),"")</f>
        <v/>
      </c>
      <c r="AU5" s="4" t="n">
        <f aca="false">IFERROR(AVERAGE(E5:J5),"")</f>
        <v>2.66666666666667</v>
      </c>
      <c r="AV5" s="4" t="n">
        <f aca="false">IFERROR(AVERAGE(K5:Q5),"")</f>
        <v>2.57142857142857</v>
      </c>
      <c r="AW5" s="4" t="n">
        <f aca="false">IFERROR(AVERAGE(R5:Y5),"")</f>
        <v>3</v>
      </c>
      <c r="AX5" s="4" t="n">
        <f aca="false">IFERROR(AVERAGE(Z5:AF5),"")</f>
        <v>3.71428571428571</v>
      </c>
      <c r="AY5" s="4" t="n">
        <f aca="false">IFERROR(AVERAGE(AG5:AJ5),"")</f>
        <v>3.33333333333333</v>
      </c>
      <c r="AZ5" s="4" t="n">
        <f aca="false">IFERROR(AVERAGE(AK5:AO5),"")</f>
        <v>4.2</v>
      </c>
      <c r="BA5" s="4" t="n">
        <f aca="false">IFERROR(AVERAGE(AP5:AS5),"")</f>
        <v>3</v>
      </c>
      <c r="BB5" s="4" t="n">
        <f aca="false">IFERROR(AVERAGE(B5:AS5),"")</f>
        <v>3.17948717948718</v>
      </c>
    </row>
    <row r="6" customFormat="false" ht="15" hidden="false" customHeight="false" outlineLevel="0" collapsed="false">
      <c r="A6" s="2" t="n">
        <f aca="false">'Données brutes'!A6</f>
        <v>5</v>
      </c>
      <c r="B6" s="2" t="n">
        <f aca="false">IF('Données brutes'!Y6="","",'Données brutes'!Y6)</f>
        <v>3</v>
      </c>
      <c r="C6" s="2" t="n">
        <f aca="false">IF('Données brutes'!Z6="","",6-'Données brutes'!Z6)</f>
        <v>4</v>
      </c>
      <c r="D6" s="2" t="n">
        <f aca="false">IF('Données brutes'!AA6="","",'Données brutes'!AA6)</f>
        <v>4</v>
      </c>
      <c r="E6" s="2" t="n">
        <f aca="false">IF('Données brutes'!AB6="","",'Données brutes'!AB6)</f>
        <v>5</v>
      </c>
      <c r="F6" s="2" t="n">
        <f aca="false">IF('Données brutes'!AC6="","",6-'Données brutes'!AC6)</f>
        <v>2</v>
      </c>
      <c r="G6" s="2" t="str">
        <f aca="false">IF('Données brutes'!AD6="","",6-'Données brutes'!AD6)</f>
        <v/>
      </c>
      <c r="H6" s="2" t="n">
        <f aca="false">IF('Données brutes'!AE6="","",'Données brutes'!AE6)</f>
        <v>5</v>
      </c>
      <c r="I6" s="2" t="n">
        <f aca="false">IF('Données brutes'!AF6="","",'Données brutes'!AF6)</f>
        <v>3</v>
      </c>
      <c r="J6" s="2" t="str">
        <f aca="false">IF('Données brutes'!AG6="","",6-'Données brutes'!AG6)</f>
        <v/>
      </c>
      <c r="K6" s="2" t="n">
        <f aca="false">IF('Données brutes'!AO6="","",'Données brutes'!AO6)</f>
        <v>3</v>
      </c>
      <c r="L6" s="2" t="n">
        <f aca="false">IF('Données brutes'!AP6="","",6-'Données brutes'!AP6)</f>
        <v>1</v>
      </c>
      <c r="M6" s="2" t="str">
        <f aca="false">IF('Données brutes'!AQ6="","",'Données brutes'!AQ6)</f>
        <v/>
      </c>
      <c r="N6" s="2" t="n">
        <f aca="false">IF('Données brutes'!AR6="","",'Données brutes'!AR6)</f>
        <v>4</v>
      </c>
      <c r="O6" s="2" t="n">
        <f aca="false">IF('Données brutes'!AS6="","",'Données brutes'!AS6)</f>
        <v>3</v>
      </c>
      <c r="P6" s="2" t="n">
        <f aca="false">IF('Données brutes'!AT6="","",'Données brutes'!AT6)</f>
        <v>5</v>
      </c>
      <c r="Q6" s="2" t="n">
        <f aca="false">IF('Données brutes'!AU6="","",'Données brutes'!AU6)</f>
        <v>3</v>
      </c>
      <c r="R6" s="2" t="n">
        <f aca="false">IF('Données brutes'!BC6="","",'Données brutes'!BC6)</f>
        <v>3</v>
      </c>
      <c r="S6" s="2" t="n">
        <f aca="false">IF('Données brutes'!BD6="","",'Données brutes'!BD6)</f>
        <v>2</v>
      </c>
      <c r="T6" s="2" t="str">
        <f aca="false">IF('Données brutes'!BE6="","",'Données brutes'!BE6)</f>
        <v/>
      </c>
      <c r="U6" s="2" t="n">
        <f aca="false">IF('Données brutes'!BF6="","",'Données brutes'!BF6)</f>
        <v>5</v>
      </c>
      <c r="V6" s="2" t="n">
        <f aca="false">IF('Données brutes'!BG6="","",6-'Données brutes'!BG6)</f>
        <v>4</v>
      </c>
      <c r="W6" s="2" t="n">
        <f aca="false">IF('Données brutes'!BH6="","",'Données brutes'!BH6)</f>
        <v>4</v>
      </c>
      <c r="X6" s="2" t="n">
        <f aca="false">IF('Données brutes'!BI6="","",'Données brutes'!BI6)</f>
        <v>5</v>
      </c>
      <c r="Y6" s="2" t="str">
        <f aca="false">IF('Données brutes'!BJ6="","",'Données brutes'!BJ6)</f>
        <v/>
      </c>
      <c r="Z6" s="2" t="n">
        <f aca="false">IF('Données brutes'!BK6="","",6-'Données brutes'!BK6)</f>
        <v>2</v>
      </c>
      <c r="AA6" s="2" t="n">
        <f aca="false">IF('Données brutes'!BL6="","",6-'Données brutes'!BL6)</f>
        <v>4</v>
      </c>
      <c r="AB6" s="2" t="n">
        <f aca="false">IF('Données brutes'!BM6="","",6-'Données brutes'!BM6)</f>
        <v>4</v>
      </c>
      <c r="AC6" s="2" t="n">
        <f aca="false">IF('Données brutes'!BN6="","",6-'Données brutes'!BN6)</f>
        <v>3</v>
      </c>
      <c r="AD6" s="2" t="n">
        <f aca="false">IF('Données brutes'!BO6="","",6-'Données brutes'!BO6)</f>
        <v>1</v>
      </c>
      <c r="AE6" s="2" t="n">
        <f aca="false">IF('Données brutes'!BP6="","",6-'Données brutes'!BP6)</f>
        <v>2</v>
      </c>
      <c r="AF6" s="2" t="n">
        <f aca="false">IF('Données brutes'!BQ6="","",6-'Données brutes'!BQ6)</f>
        <v>1</v>
      </c>
      <c r="AG6" s="2" t="n">
        <f aca="false">IF('Données brutes'!BR6="","",'Données brutes'!BR6)</f>
        <v>3</v>
      </c>
      <c r="AH6" s="2" t="n">
        <f aca="false">IF('Données brutes'!BS6="","",'Données brutes'!BS6)</f>
        <v>2</v>
      </c>
      <c r="AI6" s="2" t="n">
        <f aca="false">IF('Données brutes'!BT6="","",'Données brutes'!BT6)</f>
        <v>2</v>
      </c>
      <c r="AJ6" s="2" t="n">
        <f aca="false">IF('Données brutes'!BU6="","",'Données brutes'!BU6)</f>
        <v>2</v>
      </c>
      <c r="AK6" s="2" t="n">
        <f aca="false">IF('Données brutes'!BV6="","",'Données brutes'!BV6)</f>
        <v>2</v>
      </c>
      <c r="AL6" s="2" t="n">
        <f aca="false">IF('Données brutes'!BW6="","",'Données brutes'!BW6)</f>
        <v>3</v>
      </c>
      <c r="AM6" s="2" t="n">
        <f aca="false">IF('Données brutes'!BX6="","",'Données brutes'!BX6)</f>
        <v>5</v>
      </c>
      <c r="AN6" s="2" t="n">
        <f aca="false">IF('Données brutes'!BY6="","",'Données brutes'!BY6)</f>
        <v>1</v>
      </c>
      <c r="AO6" s="2" t="n">
        <f aca="false">IF('Données brutes'!BZ6="","",'Données brutes'!BZ6)</f>
        <v>5</v>
      </c>
      <c r="AP6" s="2" t="n">
        <f aca="false">IF('Données brutes'!CG6="","",'Données brutes'!CG6)</f>
        <v>3</v>
      </c>
      <c r="AQ6" s="2" t="n">
        <f aca="false">IF('Données brutes'!CH6="","",'Données brutes'!CH6)</f>
        <v>4</v>
      </c>
      <c r="AR6" s="2" t="n">
        <f aca="false">IF('Données brutes'!CI6="","",'Données brutes'!CI6)</f>
        <v>3</v>
      </c>
      <c r="AS6" s="2" t="n">
        <f aca="false">IF('Données brutes'!CJ6="","",'Données brutes'!CJ6)</f>
        <v>3</v>
      </c>
      <c r="AT6" s="4" t="n">
        <f aca="false">IFERROR(AVERAGE(B6:D6),"")</f>
        <v>3.66666666666667</v>
      </c>
      <c r="AU6" s="4" t="n">
        <f aca="false">IFERROR(AVERAGE(E6:J6),"")</f>
        <v>3.75</v>
      </c>
      <c r="AV6" s="4" t="n">
        <f aca="false">IFERROR(AVERAGE(K6:Q6),"")</f>
        <v>3.16666666666667</v>
      </c>
      <c r="AW6" s="4" t="n">
        <f aca="false">IFERROR(AVERAGE(R6:Y6),"")</f>
        <v>3.83333333333333</v>
      </c>
      <c r="AX6" s="4" t="n">
        <f aca="false">IFERROR(AVERAGE(Z6:AF6),"")</f>
        <v>2.42857142857143</v>
      </c>
      <c r="AY6" s="4" t="n">
        <f aca="false">IFERROR(AVERAGE(AG6:AJ6),"")</f>
        <v>2.25</v>
      </c>
      <c r="AZ6" s="4" t="n">
        <f aca="false">IFERROR(AVERAGE(AK6:AO6),"")</f>
        <v>3.2</v>
      </c>
      <c r="BA6" s="4" t="n">
        <f aca="false">IFERROR(AVERAGE(AP6:AS6),"")</f>
        <v>3.25</v>
      </c>
      <c r="BB6" s="4" t="n">
        <f aca="false">IFERROR(AVERAGE(B6:AS6),"")</f>
        <v>3.15384615384615</v>
      </c>
    </row>
    <row r="7" customFormat="false" ht="15" hidden="false" customHeight="false" outlineLevel="0" collapsed="false">
      <c r="A7" s="2" t="n">
        <f aca="false">'Données brutes'!A7</f>
        <v>6</v>
      </c>
      <c r="B7" s="2" t="n">
        <f aca="false">IF('Données brutes'!Y7="","",'Données brutes'!Y7)</f>
        <v>1</v>
      </c>
      <c r="C7" s="2" t="n">
        <f aca="false">IF('Données brutes'!Z7="","",6-'Données brutes'!Z7)</f>
        <v>1</v>
      </c>
      <c r="D7" s="2" t="n">
        <f aca="false">IF('Données brutes'!AA7="","",'Données brutes'!AA7)</f>
        <v>3</v>
      </c>
      <c r="E7" s="2" t="n">
        <f aca="false">IF('Données brutes'!AB7="","",'Données brutes'!AB7)</f>
        <v>4</v>
      </c>
      <c r="F7" s="2" t="n">
        <f aca="false">IF('Données brutes'!AC7="","",6-'Données brutes'!AC7)</f>
        <v>4</v>
      </c>
      <c r="G7" s="2" t="n">
        <f aca="false">IF('Données brutes'!AD7="","",6-'Données brutes'!AD7)</f>
        <v>5</v>
      </c>
      <c r="H7" s="2" t="n">
        <f aca="false">IF('Données brutes'!AE7="","",'Données brutes'!AE7)</f>
        <v>3</v>
      </c>
      <c r="I7" s="2" t="str">
        <f aca="false">IF('Données brutes'!AF7="","",'Données brutes'!AF7)</f>
        <v/>
      </c>
      <c r="J7" s="2" t="n">
        <f aca="false">IF('Données brutes'!AG7="","",6-'Données brutes'!AG7)</f>
        <v>3</v>
      </c>
      <c r="K7" s="2" t="n">
        <f aca="false">IF('Données brutes'!AO7="","",'Données brutes'!AO7)</f>
        <v>4</v>
      </c>
      <c r="L7" s="2" t="n">
        <f aca="false">IF('Données brutes'!AP7="","",6-'Données brutes'!AP7)</f>
        <v>5</v>
      </c>
      <c r="M7" s="2" t="n">
        <f aca="false">IF('Données brutes'!AQ7="","",'Données brutes'!AQ7)</f>
        <v>3</v>
      </c>
      <c r="N7" s="2" t="n">
        <f aca="false">IF('Données brutes'!AR7="","",'Données brutes'!AR7)</f>
        <v>4</v>
      </c>
      <c r="O7" s="2" t="n">
        <f aca="false">IF('Données brutes'!AS7="","",'Données brutes'!AS7)</f>
        <v>4</v>
      </c>
      <c r="P7" s="2" t="n">
        <f aca="false">IF('Données brutes'!AT7="","",'Données brutes'!AT7)</f>
        <v>3</v>
      </c>
      <c r="Q7" s="2" t="n">
        <f aca="false">IF('Données brutes'!AU7="","",'Données brutes'!AU7)</f>
        <v>2</v>
      </c>
      <c r="R7" s="2" t="n">
        <f aca="false">IF('Données brutes'!BC7="","",'Données brutes'!BC7)</f>
        <v>2</v>
      </c>
      <c r="S7" s="2" t="n">
        <f aca="false">IF('Données brutes'!BD7="","",'Données brutes'!BD7)</f>
        <v>5</v>
      </c>
      <c r="T7" s="2" t="n">
        <f aca="false">IF('Données brutes'!BE7="","",'Données brutes'!BE7)</f>
        <v>3</v>
      </c>
      <c r="U7" s="2" t="n">
        <f aca="false">IF('Données brutes'!BF7="","",'Données brutes'!BF7)</f>
        <v>5</v>
      </c>
      <c r="V7" s="2" t="n">
        <f aca="false">IF('Données brutes'!BG7="","",6-'Données brutes'!BG7)</f>
        <v>1</v>
      </c>
      <c r="W7" s="2" t="n">
        <f aca="false">IF('Données brutes'!BH7="","",'Données brutes'!BH7)</f>
        <v>5</v>
      </c>
      <c r="X7" s="2" t="n">
        <f aca="false">IF('Données brutes'!BI7="","",'Données brutes'!BI7)</f>
        <v>4</v>
      </c>
      <c r="Y7" s="2" t="n">
        <f aca="false">IF('Données brutes'!BJ7="","",'Données brutes'!BJ7)</f>
        <v>3</v>
      </c>
      <c r="Z7" s="2" t="n">
        <f aca="false">IF('Données brutes'!BK7="","",6-'Données brutes'!BK7)</f>
        <v>1</v>
      </c>
      <c r="AA7" s="2" t="n">
        <f aca="false">IF('Données brutes'!BL7="","",6-'Données brutes'!BL7)</f>
        <v>2</v>
      </c>
      <c r="AB7" s="2" t="n">
        <f aca="false">IF('Données brutes'!BM7="","",6-'Données brutes'!BM7)</f>
        <v>3</v>
      </c>
      <c r="AC7" s="2" t="n">
        <f aca="false">IF('Données brutes'!BN7="","",6-'Données brutes'!BN7)</f>
        <v>4</v>
      </c>
      <c r="AD7" s="2" t="str">
        <f aca="false">IF('Données brutes'!BO7="","",6-'Données brutes'!BO7)</f>
        <v/>
      </c>
      <c r="AE7" s="2" t="n">
        <f aca="false">IF('Données brutes'!BP7="","",6-'Données brutes'!BP7)</f>
        <v>4</v>
      </c>
      <c r="AF7" s="2" t="n">
        <f aca="false">IF('Données brutes'!BQ7="","",6-'Données brutes'!BQ7)</f>
        <v>5</v>
      </c>
      <c r="AG7" s="2" t="n">
        <f aca="false">IF('Données brutes'!BR7="","",'Données brutes'!BR7)</f>
        <v>5</v>
      </c>
      <c r="AH7" s="2" t="n">
        <f aca="false">IF('Données brutes'!BS7="","",'Données brutes'!BS7)</f>
        <v>5</v>
      </c>
      <c r="AI7" s="2" t="n">
        <f aca="false">IF('Données brutes'!BT7="","",'Données brutes'!BT7)</f>
        <v>2</v>
      </c>
      <c r="AJ7" s="2" t="n">
        <f aca="false">IF('Données brutes'!BU7="","",'Données brutes'!BU7)</f>
        <v>5</v>
      </c>
      <c r="AK7" s="2" t="n">
        <f aca="false">IF('Données brutes'!BV7="","",'Données brutes'!BV7)</f>
        <v>2</v>
      </c>
      <c r="AL7" s="2" t="n">
        <f aca="false">IF('Données brutes'!BW7="","",'Données brutes'!BW7)</f>
        <v>1</v>
      </c>
      <c r="AM7" s="2" t="n">
        <f aca="false">IF('Données brutes'!BX7="","",'Données brutes'!BX7)</f>
        <v>2</v>
      </c>
      <c r="AN7" s="2" t="n">
        <f aca="false">IF('Données brutes'!BY7="","",'Données brutes'!BY7)</f>
        <v>3</v>
      </c>
      <c r="AO7" s="2" t="n">
        <f aca="false">IF('Données brutes'!BZ7="","",'Données brutes'!BZ7)</f>
        <v>3</v>
      </c>
      <c r="AP7" s="2" t="n">
        <f aca="false">IF('Données brutes'!CG7="","",'Données brutes'!CG7)</f>
        <v>4</v>
      </c>
      <c r="AQ7" s="2" t="n">
        <f aca="false">IF('Données brutes'!CH7="","",'Données brutes'!CH7)</f>
        <v>4</v>
      </c>
      <c r="AR7" s="2" t="n">
        <f aca="false">IF('Données brutes'!CI7="","",'Données brutes'!CI7)</f>
        <v>4</v>
      </c>
      <c r="AS7" s="2" t="n">
        <f aca="false">IF('Données brutes'!CJ7="","",'Données brutes'!CJ7)</f>
        <v>5</v>
      </c>
      <c r="AT7" s="4" t="n">
        <f aca="false">IFERROR(AVERAGE(B7:D7),"")</f>
        <v>1.66666666666667</v>
      </c>
      <c r="AU7" s="4" t="n">
        <f aca="false">IFERROR(AVERAGE(E7:J7),"")</f>
        <v>3.8</v>
      </c>
      <c r="AV7" s="4" t="n">
        <f aca="false">IFERROR(AVERAGE(K7:Q7),"")</f>
        <v>3.57142857142857</v>
      </c>
      <c r="AW7" s="4" t="n">
        <f aca="false">IFERROR(AVERAGE(R7:Y7),"")</f>
        <v>3.5</v>
      </c>
      <c r="AX7" s="4" t="n">
        <f aca="false">IFERROR(AVERAGE(Z7:AF7),"")</f>
        <v>3.16666666666667</v>
      </c>
      <c r="AY7" s="4" t="n">
        <f aca="false">IFERROR(AVERAGE(AG7:AJ7),"")</f>
        <v>4.25</v>
      </c>
      <c r="AZ7" s="4" t="n">
        <f aca="false">IFERROR(AVERAGE(AK7:AO7),"")</f>
        <v>2.2</v>
      </c>
      <c r="BA7" s="4" t="n">
        <f aca="false">IFERROR(AVERAGE(AP7:AS7),"")</f>
        <v>4.25</v>
      </c>
      <c r="BB7" s="4" t="n">
        <f aca="false">IFERROR(AVERAGE(B7:AS7),"")</f>
        <v>3.35714285714286</v>
      </c>
    </row>
    <row r="8" customFormat="false" ht="15" hidden="false" customHeight="false" outlineLevel="0" collapsed="false">
      <c r="A8" s="2" t="n">
        <f aca="false">'Données brutes'!A8</f>
        <v>7</v>
      </c>
      <c r="B8" s="2" t="str">
        <f aca="false">IF('Données brutes'!Y8="","",'Données brutes'!Y8)</f>
        <v/>
      </c>
      <c r="C8" s="2" t="str">
        <f aca="false">IF('Données brutes'!Z8="","",6-'Données brutes'!Z8)</f>
        <v/>
      </c>
      <c r="D8" s="2" t="str">
        <f aca="false">IF('Données brutes'!AA8="","",'Données brutes'!AA8)</f>
        <v/>
      </c>
      <c r="E8" s="2" t="n">
        <f aca="false">IF('Données brutes'!AB8="","",'Données brutes'!AB8)</f>
        <v>4</v>
      </c>
      <c r="F8" s="2" t="n">
        <f aca="false">IF('Données brutes'!AC8="","",6-'Données brutes'!AC8)</f>
        <v>2</v>
      </c>
      <c r="G8" s="2" t="n">
        <f aca="false">IF('Données brutes'!AD8="","",6-'Données brutes'!AD8)</f>
        <v>1</v>
      </c>
      <c r="H8" s="2" t="n">
        <f aca="false">IF('Données brutes'!AE8="","",'Données brutes'!AE8)</f>
        <v>1</v>
      </c>
      <c r="I8" s="2" t="n">
        <f aca="false">IF('Données brutes'!AF8="","",'Données brutes'!AF8)</f>
        <v>4</v>
      </c>
      <c r="J8" s="2" t="n">
        <f aca="false">IF('Données brutes'!AG8="","",6-'Données brutes'!AG8)</f>
        <v>3</v>
      </c>
      <c r="K8" s="2" t="str">
        <f aca="false">IF('Données brutes'!AO8="","",'Données brutes'!AO8)</f>
        <v/>
      </c>
      <c r="L8" s="2" t="n">
        <f aca="false">IF('Données brutes'!AP8="","",6-'Données brutes'!AP8)</f>
        <v>1</v>
      </c>
      <c r="M8" s="2" t="n">
        <f aca="false">IF('Données brutes'!AQ8="","",'Données brutes'!AQ8)</f>
        <v>4</v>
      </c>
      <c r="N8" s="2" t="n">
        <f aca="false">IF('Données brutes'!AR8="","",'Données brutes'!AR8)</f>
        <v>3</v>
      </c>
      <c r="O8" s="2" t="n">
        <f aca="false">IF('Données brutes'!AS8="","",'Données brutes'!AS8)</f>
        <v>5</v>
      </c>
      <c r="P8" s="2" t="n">
        <f aca="false">IF('Données brutes'!AT8="","",'Données brutes'!AT8)</f>
        <v>2</v>
      </c>
      <c r="Q8" s="2" t="str">
        <f aca="false">IF('Données brutes'!AU8="","",'Données brutes'!AU8)</f>
        <v/>
      </c>
      <c r="R8" s="2" t="n">
        <f aca="false">IF('Données brutes'!BC8="","",'Données brutes'!BC8)</f>
        <v>3</v>
      </c>
      <c r="S8" s="2" t="n">
        <f aca="false">IF('Données brutes'!BD8="","",'Données brutes'!BD8)</f>
        <v>3</v>
      </c>
      <c r="T8" s="2" t="n">
        <f aca="false">IF('Données brutes'!BE8="","",'Données brutes'!BE8)</f>
        <v>4</v>
      </c>
      <c r="U8" s="2" t="n">
        <f aca="false">IF('Données brutes'!BF8="","",'Données brutes'!BF8)</f>
        <v>5</v>
      </c>
      <c r="V8" s="2" t="n">
        <f aca="false">IF('Données brutes'!BG8="","",6-'Données brutes'!BG8)</f>
        <v>2</v>
      </c>
      <c r="W8" s="2" t="n">
        <f aca="false">IF('Données brutes'!BH8="","",'Données brutes'!BH8)</f>
        <v>2</v>
      </c>
      <c r="X8" s="2" t="n">
        <f aca="false">IF('Données brutes'!BI8="","",'Données brutes'!BI8)</f>
        <v>4</v>
      </c>
      <c r="Y8" s="2" t="n">
        <f aca="false">IF('Données brutes'!BJ8="","",'Données brutes'!BJ8)</f>
        <v>3</v>
      </c>
      <c r="Z8" s="2" t="n">
        <f aca="false">IF('Données brutes'!BK8="","",6-'Données brutes'!BK8)</f>
        <v>2</v>
      </c>
      <c r="AA8" s="2" t="n">
        <f aca="false">IF('Données brutes'!BL8="","",6-'Données brutes'!BL8)</f>
        <v>1</v>
      </c>
      <c r="AB8" s="2" t="n">
        <f aca="false">IF('Données brutes'!BM8="","",6-'Données brutes'!BM8)</f>
        <v>2</v>
      </c>
      <c r="AC8" s="2" t="n">
        <f aca="false">IF('Données brutes'!BN8="","",6-'Données brutes'!BN8)</f>
        <v>3</v>
      </c>
      <c r="AD8" s="2" t="n">
        <f aca="false">IF('Données brutes'!BO8="","",6-'Données brutes'!BO8)</f>
        <v>5</v>
      </c>
      <c r="AE8" s="2" t="n">
        <f aca="false">IF('Données brutes'!BP8="","",6-'Données brutes'!BP8)</f>
        <v>2</v>
      </c>
      <c r="AF8" s="2" t="n">
        <f aca="false">IF('Données brutes'!BQ8="","",6-'Données brutes'!BQ8)</f>
        <v>3</v>
      </c>
      <c r="AG8" s="2" t="n">
        <f aca="false">IF('Données brutes'!BR8="","",'Données brutes'!BR8)</f>
        <v>2</v>
      </c>
      <c r="AH8" s="2" t="n">
        <f aca="false">IF('Données brutes'!BS8="","",'Données brutes'!BS8)</f>
        <v>4</v>
      </c>
      <c r="AI8" s="2" t="n">
        <f aca="false">IF('Données brutes'!BT8="","",'Données brutes'!BT8)</f>
        <v>3</v>
      </c>
      <c r="AJ8" s="2" t="n">
        <f aca="false">IF('Données brutes'!BU8="","",'Données brutes'!BU8)</f>
        <v>5</v>
      </c>
      <c r="AK8" s="2" t="n">
        <f aca="false">IF('Données brutes'!BV8="","",'Données brutes'!BV8)</f>
        <v>4</v>
      </c>
      <c r="AL8" s="2" t="n">
        <f aca="false">IF('Données brutes'!BW8="","",'Données brutes'!BW8)</f>
        <v>3</v>
      </c>
      <c r="AM8" s="2" t="n">
        <f aca="false">IF('Données brutes'!BX8="","",'Données brutes'!BX8)</f>
        <v>2</v>
      </c>
      <c r="AN8" s="2" t="n">
        <f aca="false">IF('Données brutes'!BY8="","",'Données brutes'!BY8)</f>
        <v>4</v>
      </c>
      <c r="AO8" s="2" t="n">
        <f aca="false">IF('Données brutes'!BZ8="","",'Données brutes'!BZ8)</f>
        <v>1</v>
      </c>
      <c r="AP8" s="2" t="n">
        <f aca="false">IF('Données brutes'!CG8="","",'Données brutes'!CG8)</f>
        <v>4</v>
      </c>
      <c r="AQ8" s="2" t="n">
        <f aca="false">IF('Données brutes'!CH8="","",'Données brutes'!CH8)</f>
        <v>3</v>
      </c>
      <c r="AR8" s="2" t="n">
        <f aca="false">IF('Données brutes'!CI8="","",'Données brutes'!CI8)</f>
        <v>2</v>
      </c>
      <c r="AS8" s="2" t="n">
        <f aca="false">IF('Données brutes'!CJ8="","",'Données brutes'!CJ8)</f>
        <v>3</v>
      </c>
      <c r="AT8" s="4" t="str">
        <f aca="false">IFERROR(AVERAGE(B8:D8),"")</f>
        <v/>
      </c>
      <c r="AU8" s="4" t="n">
        <f aca="false">IFERROR(AVERAGE(E8:J8),"")</f>
        <v>2.5</v>
      </c>
      <c r="AV8" s="4" t="n">
        <f aca="false">IFERROR(AVERAGE(K8:Q8),"")</f>
        <v>3</v>
      </c>
      <c r="AW8" s="4" t="n">
        <f aca="false">IFERROR(AVERAGE(R8:Y8),"")</f>
        <v>3.25</v>
      </c>
      <c r="AX8" s="4" t="n">
        <f aca="false">IFERROR(AVERAGE(Z8:AF8),"")</f>
        <v>2.57142857142857</v>
      </c>
      <c r="AY8" s="4" t="n">
        <f aca="false">IFERROR(AVERAGE(AG8:AJ8),"")</f>
        <v>3.5</v>
      </c>
      <c r="AZ8" s="4" t="n">
        <f aca="false">IFERROR(AVERAGE(AK8:AO8),"")</f>
        <v>2.8</v>
      </c>
      <c r="BA8" s="4" t="n">
        <f aca="false">IFERROR(AVERAGE(AP8:AS8),"")</f>
        <v>3</v>
      </c>
      <c r="BB8" s="4" t="n">
        <f aca="false">IFERROR(AVERAGE(B8:AS8),"")</f>
        <v>2.92307692307692</v>
      </c>
    </row>
    <row r="9" customFormat="false" ht="15" hidden="false" customHeight="false" outlineLevel="0" collapsed="false">
      <c r="A9" s="2" t="n">
        <f aca="false">'Données brutes'!A9</f>
        <v>8</v>
      </c>
      <c r="B9" s="2" t="str">
        <f aca="false">IF('Données brutes'!Y9="","",'Données brutes'!Y9)</f>
        <v/>
      </c>
      <c r="C9" s="2" t="str">
        <f aca="false">IF('Données brutes'!Z9="","",6-'Données brutes'!Z9)</f>
        <v/>
      </c>
      <c r="D9" s="2" t="str">
        <f aca="false">IF('Données brutes'!AA9="","",'Données brutes'!AA9)</f>
        <v/>
      </c>
      <c r="E9" s="2" t="n">
        <f aca="false">IF('Données brutes'!AB9="","",'Données brutes'!AB9)</f>
        <v>3</v>
      </c>
      <c r="F9" s="2" t="str">
        <f aca="false">IF('Données brutes'!AC9="","",6-'Données brutes'!AC9)</f>
        <v/>
      </c>
      <c r="G9" s="2" t="n">
        <f aca="false">IF('Données brutes'!AD9="","",6-'Données brutes'!AD9)</f>
        <v>3</v>
      </c>
      <c r="H9" s="2" t="n">
        <f aca="false">IF('Données brutes'!AE9="","",'Données brutes'!AE9)</f>
        <v>2</v>
      </c>
      <c r="I9" s="2" t="n">
        <f aca="false">IF('Données brutes'!AF9="","",'Données brutes'!AF9)</f>
        <v>2</v>
      </c>
      <c r="J9" s="2" t="n">
        <f aca="false">IF('Données brutes'!AG9="","",6-'Données brutes'!AG9)</f>
        <v>2</v>
      </c>
      <c r="K9" s="2" t="n">
        <f aca="false">IF('Données brutes'!AO9="","",'Données brutes'!AO9)</f>
        <v>2</v>
      </c>
      <c r="L9" s="2" t="n">
        <f aca="false">IF('Données brutes'!AP9="","",6-'Données brutes'!AP9)</f>
        <v>2</v>
      </c>
      <c r="M9" s="2" t="n">
        <f aca="false">IF('Données brutes'!AQ9="","",'Données brutes'!AQ9)</f>
        <v>5</v>
      </c>
      <c r="N9" s="2" t="n">
        <f aca="false">IF('Données brutes'!AR9="","",'Données brutes'!AR9)</f>
        <v>2</v>
      </c>
      <c r="O9" s="2" t="n">
        <f aca="false">IF('Données brutes'!AS9="","",'Données brutes'!AS9)</f>
        <v>2</v>
      </c>
      <c r="P9" s="2" t="n">
        <f aca="false">IF('Données brutes'!AT9="","",'Données brutes'!AT9)</f>
        <v>5</v>
      </c>
      <c r="Q9" s="2" t="n">
        <f aca="false">IF('Données brutes'!AU9="","",'Données brutes'!AU9)</f>
        <v>3</v>
      </c>
      <c r="R9" s="2" t="n">
        <f aca="false">IF('Données brutes'!BC9="","",'Données brutes'!BC9)</f>
        <v>2</v>
      </c>
      <c r="S9" s="2" t="n">
        <f aca="false">IF('Données brutes'!BD9="","",'Données brutes'!BD9)</f>
        <v>5</v>
      </c>
      <c r="T9" s="2" t="n">
        <f aca="false">IF('Données brutes'!BE9="","",'Données brutes'!BE9)</f>
        <v>5</v>
      </c>
      <c r="U9" s="2" t="n">
        <f aca="false">IF('Données brutes'!BF9="","",'Données brutes'!BF9)</f>
        <v>2</v>
      </c>
      <c r="V9" s="2" t="n">
        <f aca="false">IF('Données brutes'!BG9="","",6-'Données brutes'!BG9)</f>
        <v>1</v>
      </c>
      <c r="W9" s="2" t="n">
        <f aca="false">IF('Données brutes'!BH9="","",'Données brutes'!BH9)</f>
        <v>2</v>
      </c>
      <c r="X9" s="2" t="n">
        <f aca="false">IF('Données brutes'!BI9="","",'Données brutes'!BI9)</f>
        <v>3</v>
      </c>
      <c r="Y9" s="2" t="n">
        <f aca="false">IF('Données brutes'!BJ9="","",'Données brutes'!BJ9)</f>
        <v>1</v>
      </c>
      <c r="Z9" s="2" t="n">
        <f aca="false">IF('Données brutes'!BK9="","",6-'Données brutes'!BK9)</f>
        <v>3</v>
      </c>
      <c r="AA9" s="2" t="n">
        <f aca="false">IF('Données brutes'!BL9="","",6-'Données brutes'!BL9)</f>
        <v>4</v>
      </c>
      <c r="AB9" s="2" t="n">
        <f aca="false">IF('Données brutes'!BM9="","",6-'Données brutes'!BM9)</f>
        <v>4</v>
      </c>
      <c r="AC9" s="2" t="n">
        <f aca="false">IF('Données brutes'!BN9="","",6-'Données brutes'!BN9)</f>
        <v>1</v>
      </c>
      <c r="AD9" s="2" t="n">
        <f aca="false">IF('Données brutes'!BO9="","",6-'Données brutes'!BO9)</f>
        <v>2</v>
      </c>
      <c r="AE9" s="2" t="n">
        <f aca="false">IF('Données brutes'!BP9="","",6-'Données brutes'!BP9)</f>
        <v>5</v>
      </c>
      <c r="AF9" s="2" t="n">
        <f aca="false">IF('Données brutes'!BQ9="","",6-'Données brutes'!BQ9)</f>
        <v>3</v>
      </c>
      <c r="AG9" s="2" t="n">
        <f aca="false">IF('Données brutes'!BR9="","",'Données brutes'!BR9)</f>
        <v>4</v>
      </c>
      <c r="AH9" s="2" t="n">
        <f aca="false">IF('Données brutes'!BS9="","",'Données brutes'!BS9)</f>
        <v>4</v>
      </c>
      <c r="AI9" s="2" t="n">
        <f aca="false">IF('Données brutes'!BT9="","",'Données brutes'!BT9)</f>
        <v>5</v>
      </c>
      <c r="AJ9" s="2" t="n">
        <f aca="false">IF('Données brutes'!BU9="","",'Données brutes'!BU9)</f>
        <v>4</v>
      </c>
      <c r="AK9" s="2" t="n">
        <f aca="false">IF('Données brutes'!BV9="","",'Données brutes'!BV9)</f>
        <v>3</v>
      </c>
      <c r="AL9" s="2" t="n">
        <f aca="false">IF('Données brutes'!BW9="","",'Données brutes'!BW9)</f>
        <v>3</v>
      </c>
      <c r="AM9" s="2" t="n">
        <f aca="false">IF('Données brutes'!BX9="","",'Données brutes'!BX9)</f>
        <v>5</v>
      </c>
      <c r="AN9" s="2" t="n">
        <f aca="false">IF('Données brutes'!BY9="","",'Données brutes'!BY9)</f>
        <v>2</v>
      </c>
      <c r="AO9" s="2" t="n">
        <f aca="false">IF('Données brutes'!BZ9="","",'Données brutes'!BZ9)</f>
        <v>3</v>
      </c>
      <c r="AP9" s="2" t="n">
        <f aca="false">IF('Données brutes'!CG9="","",'Données brutes'!CG9)</f>
        <v>2</v>
      </c>
      <c r="AQ9" s="2" t="n">
        <f aca="false">IF('Données brutes'!CH9="","",'Données brutes'!CH9)</f>
        <v>1</v>
      </c>
      <c r="AR9" s="2" t="n">
        <f aca="false">IF('Données brutes'!CI9="","",'Données brutes'!CI9)</f>
        <v>4</v>
      </c>
      <c r="AS9" s="2" t="n">
        <f aca="false">IF('Données brutes'!CJ9="","",'Données brutes'!CJ9)</f>
        <v>5</v>
      </c>
      <c r="AT9" s="4" t="str">
        <f aca="false">IFERROR(AVERAGE(B9:D9),"")</f>
        <v/>
      </c>
      <c r="AU9" s="4" t="n">
        <f aca="false">IFERROR(AVERAGE(E9:J9),"")</f>
        <v>2.4</v>
      </c>
      <c r="AV9" s="4" t="n">
        <f aca="false">IFERROR(AVERAGE(K9:Q9),"")</f>
        <v>3</v>
      </c>
      <c r="AW9" s="4" t="n">
        <f aca="false">IFERROR(AVERAGE(R9:Y9),"")</f>
        <v>2.625</v>
      </c>
      <c r="AX9" s="4" t="n">
        <f aca="false">IFERROR(AVERAGE(Z9:AF9),"")</f>
        <v>3.14285714285714</v>
      </c>
      <c r="AY9" s="4" t="n">
        <f aca="false">IFERROR(AVERAGE(AG9:AJ9),"")</f>
        <v>4.25</v>
      </c>
      <c r="AZ9" s="4" t="n">
        <f aca="false">IFERROR(AVERAGE(AK9:AO9),"")</f>
        <v>3.2</v>
      </c>
      <c r="BA9" s="4" t="n">
        <f aca="false">IFERROR(AVERAGE(AP9:AS9),"")</f>
        <v>3</v>
      </c>
      <c r="BB9" s="4" t="n">
        <f aca="false">IFERROR(AVERAGE(B9:AS9),"")</f>
        <v>3.025</v>
      </c>
    </row>
    <row r="10" customFormat="false" ht="15" hidden="false" customHeight="false" outlineLevel="0" collapsed="false">
      <c r="A10" s="2" t="n">
        <f aca="false">'Données brutes'!A10</f>
        <v>9</v>
      </c>
      <c r="B10" s="2" t="n">
        <f aca="false">IF('Données brutes'!Y10="","",'Données brutes'!Y10)</f>
        <v>2</v>
      </c>
      <c r="C10" s="2" t="n">
        <f aca="false">IF('Données brutes'!Z10="","",6-'Données brutes'!Z10)</f>
        <v>4</v>
      </c>
      <c r="D10" s="2" t="n">
        <f aca="false">IF('Données brutes'!AA10="","",'Données brutes'!AA10)</f>
        <v>4</v>
      </c>
      <c r="E10" s="2" t="n">
        <f aca="false">IF('Données brutes'!AB10="","",'Données brutes'!AB10)</f>
        <v>3</v>
      </c>
      <c r="F10" s="2" t="n">
        <f aca="false">IF('Données brutes'!AC10="","",6-'Données brutes'!AC10)</f>
        <v>2</v>
      </c>
      <c r="G10" s="2" t="n">
        <f aca="false">IF('Données brutes'!AD10="","",6-'Données brutes'!AD10)</f>
        <v>3</v>
      </c>
      <c r="H10" s="2" t="n">
        <f aca="false">IF('Données brutes'!AE10="","",'Données brutes'!AE10)</f>
        <v>4</v>
      </c>
      <c r="I10" s="2" t="n">
        <f aca="false">IF('Données brutes'!AF10="","",'Données brutes'!AF10)</f>
        <v>1</v>
      </c>
      <c r="J10" s="2" t="n">
        <f aca="false">IF('Données brutes'!AG10="","",6-'Données brutes'!AG10)</f>
        <v>2</v>
      </c>
      <c r="K10" s="2" t="n">
        <f aca="false">IF('Données brutes'!AO10="","",'Données brutes'!AO10)</f>
        <v>4</v>
      </c>
      <c r="L10" s="2" t="n">
        <f aca="false">IF('Données brutes'!AP10="","",6-'Données brutes'!AP10)</f>
        <v>4</v>
      </c>
      <c r="M10" s="2" t="n">
        <f aca="false">IF('Données brutes'!AQ10="","",'Données brutes'!AQ10)</f>
        <v>5</v>
      </c>
      <c r="N10" s="2" t="n">
        <f aca="false">IF('Données brutes'!AR10="","",'Données brutes'!AR10)</f>
        <v>4</v>
      </c>
      <c r="O10" s="2" t="n">
        <f aca="false">IF('Données brutes'!AS10="","",'Données brutes'!AS10)</f>
        <v>4</v>
      </c>
      <c r="P10" s="2" t="n">
        <f aca="false">IF('Données brutes'!AT10="","",'Données brutes'!AT10)</f>
        <v>3</v>
      </c>
      <c r="Q10" s="2" t="n">
        <f aca="false">IF('Données brutes'!AU10="","",'Données brutes'!AU10)</f>
        <v>1</v>
      </c>
      <c r="R10" s="2" t="n">
        <f aca="false">IF('Données brutes'!BC10="","",'Données brutes'!BC10)</f>
        <v>1</v>
      </c>
      <c r="S10" s="2" t="n">
        <f aca="false">IF('Données brutes'!BD10="","",'Données brutes'!BD10)</f>
        <v>4</v>
      </c>
      <c r="T10" s="2" t="n">
        <f aca="false">IF('Données brutes'!BE10="","",'Données brutes'!BE10)</f>
        <v>3</v>
      </c>
      <c r="U10" s="2" t="n">
        <f aca="false">IF('Données brutes'!BF10="","",'Données brutes'!BF10)</f>
        <v>4</v>
      </c>
      <c r="V10" s="2" t="n">
        <f aca="false">IF('Données brutes'!BG10="","",6-'Données brutes'!BG10)</f>
        <v>3</v>
      </c>
      <c r="W10" s="2" t="n">
        <f aca="false">IF('Données brutes'!BH10="","",'Données brutes'!BH10)</f>
        <v>5</v>
      </c>
      <c r="X10" s="2" t="n">
        <f aca="false">IF('Données brutes'!BI10="","",'Données brutes'!BI10)</f>
        <v>3</v>
      </c>
      <c r="Y10" s="2" t="n">
        <f aca="false">IF('Données brutes'!BJ10="","",'Données brutes'!BJ10)</f>
        <v>5</v>
      </c>
      <c r="Z10" s="2" t="n">
        <f aca="false">IF('Données brutes'!BK10="","",6-'Données brutes'!BK10)</f>
        <v>4</v>
      </c>
      <c r="AA10" s="2" t="n">
        <f aca="false">IF('Données brutes'!BL10="","",6-'Données brutes'!BL10)</f>
        <v>4</v>
      </c>
      <c r="AB10" s="2" t="n">
        <f aca="false">IF('Données brutes'!BM10="","",6-'Données brutes'!BM10)</f>
        <v>2</v>
      </c>
      <c r="AC10" s="2" t="n">
        <f aca="false">IF('Données brutes'!BN10="","",6-'Données brutes'!BN10)</f>
        <v>2</v>
      </c>
      <c r="AD10" s="2" t="n">
        <f aca="false">IF('Données brutes'!BO10="","",6-'Données brutes'!BO10)</f>
        <v>2</v>
      </c>
      <c r="AE10" s="2" t="n">
        <f aca="false">IF('Données brutes'!BP10="","",6-'Données brutes'!BP10)</f>
        <v>1</v>
      </c>
      <c r="AF10" s="2" t="n">
        <f aca="false">IF('Données brutes'!BQ10="","",6-'Données brutes'!BQ10)</f>
        <v>3</v>
      </c>
      <c r="AG10" s="2" t="n">
        <f aca="false">IF('Données brutes'!BR10="","",'Données brutes'!BR10)</f>
        <v>1</v>
      </c>
      <c r="AH10" s="2" t="n">
        <f aca="false">IF('Données brutes'!BS10="","",'Données brutes'!BS10)</f>
        <v>4</v>
      </c>
      <c r="AI10" s="2" t="n">
        <f aca="false">IF('Données brutes'!BT10="","",'Données brutes'!BT10)</f>
        <v>3</v>
      </c>
      <c r="AJ10" s="2" t="n">
        <f aca="false">IF('Données brutes'!BU10="","",'Données brutes'!BU10)</f>
        <v>4</v>
      </c>
      <c r="AK10" s="2" t="n">
        <f aca="false">IF('Données brutes'!BV10="","",'Données brutes'!BV10)</f>
        <v>3</v>
      </c>
      <c r="AL10" s="2" t="n">
        <f aca="false">IF('Données brutes'!BW10="","",'Données brutes'!BW10)</f>
        <v>3</v>
      </c>
      <c r="AM10" s="2" t="n">
        <f aca="false">IF('Données brutes'!BX10="","",'Données brutes'!BX10)</f>
        <v>5</v>
      </c>
      <c r="AN10" s="2" t="n">
        <f aca="false">IF('Données brutes'!BY10="","",'Données brutes'!BY10)</f>
        <v>4</v>
      </c>
      <c r="AO10" s="2" t="n">
        <f aca="false">IF('Données brutes'!BZ10="","",'Données brutes'!BZ10)</f>
        <v>2</v>
      </c>
      <c r="AP10" s="2" t="n">
        <f aca="false">IF('Données brutes'!CG10="","",'Données brutes'!CG10)</f>
        <v>3</v>
      </c>
      <c r="AQ10" s="2" t="n">
        <f aca="false">IF('Données brutes'!CH10="","",'Données brutes'!CH10)</f>
        <v>5</v>
      </c>
      <c r="AR10" s="2" t="n">
        <f aca="false">IF('Données brutes'!CI10="","",'Données brutes'!CI10)</f>
        <v>3</v>
      </c>
      <c r="AS10" s="2" t="n">
        <f aca="false">IF('Données brutes'!CJ10="","",'Données brutes'!CJ10)</f>
        <v>5</v>
      </c>
      <c r="AT10" s="4" t="n">
        <f aca="false">IFERROR(AVERAGE(B10:D10),"")</f>
        <v>3.33333333333333</v>
      </c>
      <c r="AU10" s="4" t="n">
        <f aca="false">IFERROR(AVERAGE(E10:J10),"")</f>
        <v>2.5</v>
      </c>
      <c r="AV10" s="4" t="n">
        <f aca="false">IFERROR(AVERAGE(K10:Q10),"")</f>
        <v>3.57142857142857</v>
      </c>
      <c r="AW10" s="4" t="n">
        <f aca="false">IFERROR(AVERAGE(R10:Y10),"")</f>
        <v>3.5</v>
      </c>
      <c r="AX10" s="4" t="n">
        <f aca="false">IFERROR(AVERAGE(Z10:AF10),"")</f>
        <v>2.57142857142857</v>
      </c>
      <c r="AY10" s="4" t="n">
        <f aca="false">IFERROR(AVERAGE(AG10:AJ10),"")</f>
        <v>3</v>
      </c>
      <c r="AZ10" s="4" t="n">
        <f aca="false">IFERROR(AVERAGE(AK10:AO10),"")</f>
        <v>3.4</v>
      </c>
      <c r="BA10" s="4" t="n">
        <f aca="false">IFERROR(AVERAGE(AP10:AS10),"")</f>
        <v>4</v>
      </c>
      <c r="BB10" s="4" t="n">
        <f aca="false">IFERROR(AVERAGE(B10:AS10),"")</f>
        <v>3.20454545454545</v>
      </c>
    </row>
    <row r="11" customFormat="false" ht="15" hidden="false" customHeight="false" outlineLevel="0" collapsed="false">
      <c r="A11" s="2" t="n">
        <f aca="false">'Données brutes'!A11</f>
        <v>10</v>
      </c>
      <c r="B11" s="2" t="n">
        <f aca="false">IF('Données brutes'!Y11="","",'Données brutes'!Y11)</f>
        <v>2</v>
      </c>
      <c r="C11" s="2" t="n">
        <f aca="false">IF('Données brutes'!Z11="","",6-'Données brutes'!Z11)</f>
        <v>4</v>
      </c>
      <c r="D11" s="2" t="n">
        <f aca="false">IF('Données brutes'!AA11="","",'Données brutes'!AA11)</f>
        <v>3</v>
      </c>
      <c r="E11" s="2" t="n">
        <f aca="false">IF('Données brutes'!AB11="","",'Données brutes'!AB11)</f>
        <v>1</v>
      </c>
      <c r="F11" s="2" t="n">
        <f aca="false">IF('Données brutes'!AC11="","",6-'Données brutes'!AC11)</f>
        <v>2</v>
      </c>
      <c r="G11" s="2" t="n">
        <f aca="false">IF('Données brutes'!AD11="","",6-'Données brutes'!AD11)</f>
        <v>1</v>
      </c>
      <c r="H11" s="2" t="n">
        <f aca="false">IF('Données brutes'!AE11="","",'Données brutes'!AE11)</f>
        <v>4</v>
      </c>
      <c r="I11" s="2" t="n">
        <f aca="false">IF('Données brutes'!AF11="","",'Données brutes'!AF11)</f>
        <v>2</v>
      </c>
      <c r="J11" s="2" t="n">
        <f aca="false">IF('Données brutes'!AG11="","",6-'Données brutes'!AG11)</f>
        <v>3</v>
      </c>
      <c r="K11" s="2" t="n">
        <f aca="false">IF('Données brutes'!AO11="","",'Données brutes'!AO11)</f>
        <v>4</v>
      </c>
      <c r="L11" s="2" t="n">
        <f aca="false">IF('Données brutes'!AP11="","",6-'Données brutes'!AP11)</f>
        <v>3</v>
      </c>
      <c r="M11" s="2" t="n">
        <f aca="false">IF('Données brutes'!AQ11="","",'Données brutes'!AQ11)</f>
        <v>3</v>
      </c>
      <c r="N11" s="2" t="n">
        <f aca="false">IF('Données brutes'!AR11="","",'Données brutes'!AR11)</f>
        <v>2</v>
      </c>
      <c r="O11" s="2" t="n">
        <f aca="false">IF('Données brutes'!AS11="","",'Données brutes'!AS11)</f>
        <v>2</v>
      </c>
      <c r="P11" s="2" t="n">
        <f aca="false">IF('Données brutes'!AT11="","",'Données brutes'!AT11)</f>
        <v>4</v>
      </c>
      <c r="Q11" s="2" t="n">
        <f aca="false">IF('Données brutes'!AU11="","",'Données brutes'!AU11)</f>
        <v>4</v>
      </c>
      <c r="R11" s="2" t="n">
        <f aca="false">IF('Données brutes'!BC11="","",'Données brutes'!BC11)</f>
        <v>3</v>
      </c>
      <c r="S11" s="2" t="n">
        <f aca="false">IF('Données brutes'!BD11="","",'Données brutes'!BD11)</f>
        <v>2</v>
      </c>
      <c r="T11" s="2" t="n">
        <f aca="false">IF('Données brutes'!BE11="","",'Données brutes'!BE11)</f>
        <v>1</v>
      </c>
      <c r="U11" s="2" t="n">
        <f aca="false">IF('Données brutes'!BF11="","",'Données brutes'!BF11)</f>
        <v>1</v>
      </c>
      <c r="V11" s="2" t="n">
        <f aca="false">IF('Données brutes'!BG11="","",6-'Données brutes'!BG11)</f>
        <v>3</v>
      </c>
      <c r="W11" s="2" t="n">
        <f aca="false">IF('Données brutes'!BH11="","",'Données brutes'!BH11)</f>
        <v>3</v>
      </c>
      <c r="X11" s="2" t="n">
        <f aca="false">IF('Données brutes'!BI11="","",'Données brutes'!BI11)</f>
        <v>3</v>
      </c>
      <c r="Y11" s="2" t="n">
        <f aca="false">IF('Données brutes'!BJ11="","",'Données brutes'!BJ11)</f>
        <v>5</v>
      </c>
      <c r="Z11" s="2" t="n">
        <f aca="false">IF('Données brutes'!BK11="","",6-'Données brutes'!BK11)</f>
        <v>3</v>
      </c>
      <c r="AA11" s="2" t="n">
        <f aca="false">IF('Données brutes'!BL11="","",6-'Données brutes'!BL11)</f>
        <v>1</v>
      </c>
      <c r="AB11" s="2" t="n">
        <f aca="false">IF('Données brutes'!BM11="","",6-'Données brutes'!BM11)</f>
        <v>4</v>
      </c>
      <c r="AC11" s="2" t="n">
        <f aca="false">IF('Données brutes'!BN11="","",6-'Données brutes'!BN11)</f>
        <v>4</v>
      </c>
      <c r="AD11" s="2" t="n">
        <f aca="false">IF('Données brutes'!BO11="","",6-'Données brutes'!BO11)</f>
        <v>1</v>
      </c>
      <c r="AE11" s="2" t="n">
        <f aca="false">IF('Données brutes'!BP11="","",6-'Données brutes'!BP11)</f>
        <v>2</v>
      </c>
      <c r="AF11" s="2" t="n">
        <f aca="false">IF('Données brutes'!BQ11="","",6-'Données brutes'!BQ11)</f>
        <v>2</v>
      </c>
      <c r="AG11" s="2" t="n">
        <f aca="false">IF('Données brutes'!BR11="","",'Données brutes'!BR11)</f>
        <v>3</v>
      </c>
      <c r="AH11" s="2" t="n">
        <f aca="false">IF('Données brutes'!BS11="","",'Données brutes'!BS11)</f>
        <v>4</v>
      </c>
      <c r="AI11" s="2" t="n">
        <f aca="false">IF('Données brutes'!BT11="","",'Données brutes'!BT11)</f>
        <v>4</v>
      </c>
      <c r="AJ11" s="2" t="n">
        <f aca="false">IF('Données brutes'!BU11="","",'Données brutes'!BU11)</f>
        <v>3</v>
      </c>
      <c r="AK11" s="2" t="n">
        <f aca="false">IF('Données brutes'!BV11="","",'Données brutes'!BV11)</f>
        <v>4</v>
      </c>
      <c r="AL11" s="2" t="n">
        <f aca="false">IF('Données brutes'!BW11="","",'Données brutes'!BW11)</f>
        <v>5</v>
      </c>
      <c r="AM11" s="2" t="n">
        <f aca="false">IF('Données brutes'!BX11="","",'Données brutes'!BX11)</f>
        <v>4</v>
      </c>
      <c r="AN11" s="2" t="n">
        <f aca="false">IF('Données brutes'!BY11="","",'Données brutes'!BY11)</f>
        <v>1</v>
      </c>
      <c r="AO11" s="2" t="n">
        <f aca="false">IF('Données brutes'!BZ11="","",'Données brutes'!BZ11)</f>
        <v>3</v>
      </c>
      <c r="AP11" s="2" t="n">
        <f aca="false">IF('Données brutes'!CG11="","",'Données brutes'!CG11)</f>
        <v>1</v>
      </c>
      <c r="AQ11" s="2" t="n">
        <f aca="false">IF('Données brutes'!CH11="","",'Données brutes'!CH11)</f>
        <v>1</v>
      </c>
      <c r="AR11" s="2" t="n">
        <f aca="false">IF('Données brutes'!CI11="","",'Données brutes'!CI11)</f>
        <v>5</v>
      </c>
      <c r="AS11" s="2" t="n">
        <f aca="false">IF('Données brutes'!CJ11="","",'Données brutes'!CJ11)</f>
        <v>2</v>
      </c>
      <c r="AT11" s="4" t="n">
        <f aca="false">IFERROR(AVERAGE(B11:D11),"")</f>
        <v>3</v>
      </c>
      <c r="AU11" s="4" t="n">
        <f aca="false">IFERROR(AVERAGE(E11:J11),"")</f>
        <v>2.16666666666667</v>
      </c>
      <c r="AV11" s="4" t="n">
        <f aca="false">IFERROR(AVERAGE(K11:Q11),"")</f>
        <v>3.14285714285714</v>
      </c>
      <c r="AW11" s="4" t="n">
        <f aca="false">IFERROR(AVERAGE(R11:Y11),"")</f>
        <v>2.625</v>
      </c>
      <c r="AX11" s="4" t="n">
        <f aca="false">IFERROR(AVERAGE(Z11:AF11),"")</f>
        <v>2.42857142857143</v>
      </c>
      <c r="AY11" s="4" t="n">
        <f aca="false">IFERROR(AVERAGE(AG11:AJ11),"")</f>
        <v>3.5</v>
      </c>
      <c r="AZ11" s="4" t="n">
        <f aca="false">IFERROR(AVERAGE(AK11:AO11),"")</f>
        <v>3.4</v>
      </c>
      <c r="BA11" s="4" t="n">
        <f aca="false">IFERROR(AVERAGE(AP11:AS11),"")</f>
        <v>2.25</v>
      </c>
      <c r="BB11" s="4" t="n">
        <f aca="false">IFERROR(AVERAGE(B11:AS11),"")</f>
        <v>2.77272727272727</v>
      </c>
    </row>
    <row r="12" customFormat="false" ht="15" hidden="false" customHeight="false" outlineLevel="0" collapsed="false">
      <c r="A12" s="2" t="n">
        <f aca="false">'Données brutes'!A12</f>
        <v>11</v>
      </c>
      <c r="B12" s="2" t="str">
        <f aca="false">IF('Données brutes'!Y12="","",'Données brutes'!Y12)</f>
        <v/>
      </c>
      <c r="C12" s="2" t="str">
        <f aca="false">IF('Données brutes'!Z12="","",6-'Données brutes'!Z12)</f>
        <v/>
      </c>
      <c r="D12" s="2" t="str">
        <f aca="false">IF('Données brutes'!AA12="","",'Données brutes'!AA12)</f>
        <v/>
      </c>
      <c r="E12" s="2" t="n">
        <f aca="false">IF('Données brutes'!AB12="","",'Données brutes'!AB12)</f>
        <v>3</v>
      </c>
      <c r="F12" s="2" t="n">
        <f aca="false">IF('Données brutes'!AC12="","",6-'Données brutes'!AC12)</f>
        <v>2</v>
      </c>
      <c r="G12" s="2" t="n">
        <f aca="false">IF('Données brutes'!AD12="","",6-'Données brutes'!AD12)</f>
        <v>3</v>
      </c>
      <c r="H12" s="2" t="n">
        <f aca="false">IF('Données brutes'!AE12="","",'Données brutes'!AE12)</f>
        <v>1</v>
      </c>
      <c r="I12" s="2" t="n">
        <f aca="false">IF('Données brutes'!AF12="","",'Données brutes'!AF12)</f>
        <v>3</v>
      </c>
      <c r="J12" s="2" t="n">
        <f aca="false">IF('Données brutes'!AG12="","",6-'Données brutes'!AG12)</f>
        <v>4</v>
      </c>
      <c r="K12" s="2" t="n">
        <f aca="false">IF('Données brutes'!AO12="","",'Données brutes'!AO12)</f>
        <v>4</v>
      </c>
      <c r="L12" s="2" t="n">
        <f aca="false">IF('Données brutes'!AP12="","",6-'Données brutes'!AP12)</f>
        <v>3</v>
      </c>
      <c r="M12" s="2" t="n">
        <f aca="false">IF('Données brutes'!AQ12="","",'Données brutes'!AQ12)</f>
        <v>2</v>
      </c>
      <c r="N12" s="2" t="n">
        <f aca="false">IF('Données brutes'!AR12="","",'Données brutes'!AR12)</f>
        <v>3</v>
      </c>
      <c r="O12" s="2" t="str">
        <f aca="false">IF('Données brutes'!AS12="","",'Données brutes'!AS12)</f>
        <v/>
      </c>
      <c r="P12" s="2" t="n">
        <f aca="false">IF('Données brutes'!AT12="","",'Données brutes'!AT12)</f>
        <v>3</v>
      </c>
      <c r="Q12" s="2" t="n">
        <f aca="false">IF('Données brutes'!AU12="","",'Données brutes'!AU12)</f>
        <v>3</v>
      </c>
      <c r="R12" s="2" t="n">
        <f aca="false">IF('Données brutes'!BC12="","",'Données brutes'!BC12)</f>
        <v>1</v>
      </c>
      <c r="S12" s="2" t="n">
        <f aca="false">IF('Données brutes'!BD12="","",'Données brutes'!BD12)</f>
        <v>3</v>
      </c>
      <c r="T12" s="2" t="n">
        <f aca="false">IF('Données brutes'!BE12="","",'Données brutes'!BE12)</f>
        <v>5</v>
      </c>
      <c r="U12" s="2" t="n">
        <f aca="false">IF('Données brutes'!BF12="","",'Données brutes'!BF12)</f>
        <v>3</v>
      </c>
      <c r="V12" s="2" t="n">
        <f aca="false">IF('Données brutes'!BG12="","",6-'Données brutes'!BG12)</f>
        <v>1</v>
      </c>
      <c r="W12" s="2" t="n">
        <f aca="false">IF('Données brutes'!BH12="","",'Données brutes'!BH12)</f>
        <v>4</v>
      </c>
      <c r="X12" s="2" t="n">
        <f aca="false">IF('Données brutes'!BI12="","",'Données brutes'!BI12)</f>
        <v>4</v>
      </c>
      <c r="Y12" s="2" t="n">
        <f aca="false">IF('Données brutes'!BJ12="","",'Données brutes'!BJ12)</f>
        <v>3</v>
      </c>
      <c r="Z12" s="2" t="n">
        <f aca="false">IF('Données brutes'!BK12="","",6-'Données brutes'!BK12)</f>
        <v>4</v>
      </c>
      <c r="AA12" s="2" t="n">
        <f aca="false">IF('Données brutes'!BL12="","",6-'Données brutes'!BL12)</f>
        <v>2</v>
      </c>
      <c r="AB12" s="2" t="n">
        <f aca="false">IF('Données brutes'!BM12="","",6-'Données brutes'!BM12)</f>
        <v>2</v>
      </c>
      <c r="AC12" s="2" t="n">
        <f aca="false">IF('Données brutes'!BN12="","",6-'Données brutes'!BN12)</f>
        <v>5</v>
      </c>
      <c r="AD12" s="2" t="n">
        <f aca="false">IF('Données brutes'!BO12="","",6-'Données brutes'!BO12)</f>
        <v>4</v>
      </c>
      <c r="AE12" s="2" t="n">
        <f aca="false">IF('Données brutes'!BP12="","",6-'Données brutes'!BP12)</f>
        <v>2</v>
      </c>
      <c r="AF12" s="2" t="n">
        <f aca="false">IF('Données brutes'!BQ12="","",6-'Données brutes'!BQ12)</f>
        <v>3</v>
      </c>
      <c r="AG12" s="2" t="n">
        <f aca="false">IF('Données brutes'!BR12="","",'Données brutes'!BR12)</f>
        <v>3</v>
      </c>
      <c r="AH12" s="2" t="n">
        <f aca="false">IF('Données brutes'!BS12="","",'Données brutes'!BS12)</f>
        <v>2</v>
      </c>
      <c r="AI12" s="2" t="n">
        <f aca="false">IF('Données brutes'!BT12="","",'Données brutes'!BT12)</f>
        <v>1</v>
      </c>
      <c r="AJ12" s="2" t="n">
        <f aca="false">IF('Données brutes'!BU12="","",'Données brutes'!BU12)</f>
        <v>4</v>
      </c>
      <c r="AK12" s="2" t="n">
        <f aca="false">IF('Données brutes'!BV12="","",'Données brutes'!BV12)</f>
        <v>5</v>
      </c>
      <c r="AL12" s="2" t="n">
        <f aca="false">IF('Données brutes'!BW12="","",'Données brutes'!BW12)</f>
        <v>5</v>
      </c>
      <c r="AM12" s="2" t="n">
        <f aca="false">IF('Données brutes'!BX12="","",'Données brutes'!BX12)</f>
        <v>2</v>
      </c>
      <c r="AN12" s="2" t="n">
        <f aca="false">IF('Données brutes'!BY12="","",'Données brutes'!BY12)</f>
        <v>2</v>
      </c>
      <c r="AO12" s="2" t="n">
        <f aca="false">IF('Données brutes'!BZ12="","",'Données brutes'!BZ12)</f>
        <v>5</v>
      </c>
      <c r="AP12" s="2" t="n">
        <f aca="false">IF('Données brutes'!CG12="","",'Données brutes'!CG12)</f>
        <v>5</v>
      </c>
      <c r="AQ12" s="2" t="n">
        <f aca="false">IF('Données brutes'!CH12="","",'Données brutes'!CH12)</f>
        <v>4</v>
      </c>
      <c r="AR12" s="2" t="n">
        <f aca="false">IF('Données brutes'!CI12="","",'Données brutes'!CI12)</f>
        <v>5</v>
      </c>
      <c r="AS12" s="2" t="n">
        <f aca="false">IF('Données brutes'!CJ12="","",'Données brutes'!CJ12)</f>
        <v>3</v>
      </c>
      <c r="AT12" s="4" t="str">
        <f aca="false">IFERROR(AVERAGE(B12:D12),"")</f>
        <v/>
      </c>
      <c r="AU12" s="4" t="n">
        <f aca="false">IFERROR(AVERAGE(E12:J12),"")</f>
        <v>2.66666666666667</v>
      </c>
      <c r="AV12" s="4" t="n">
        <f aca="false">IFERROR(AVERAGE(K12:Q12),"")</f>
        <v>3</v>
      </c>
      <c r="AW12" s="4" t="n">
        <f aca="false">IFERROR(AVERAGE(R12:Y12),"")</f>
        <v>3</v>
      </c>
      <c r="AX12" s="4" t="n">
        <f aca="false">IFERROR(AVERAGE(Z12:AF12),"")</f>
        <v>3.14285714285714</v>
      </c>
      <c r="AY12" s="4" t="n">
        <f aca="false">IFERROR(AVERAGE(AG12:AJ12),"")</f>
        <v>2.5</v>
      </c>
      <c r="AZ12" s="4" t="n">
        <f aca="false">IFERROR(AVERAGE(AK12:AO12),"")</f>
        <v>3.8</v>
      </c>
      <c r="BA12" s="4" t="n">
        <f aca="false">IFERROR(AVERAGE(AP12:AS12),"")</f>
        <v>4.25</v>
      </c>
      <c r="BB12" s="4" t="n">
        <f aca="false">IFERROR(AVERAGE(B12:AS12),"")</f>
        <v>3.15</v>
      </c>
    </row>
    <row r="13" customFormat="false" ht="15" hidden="false" customHeight="false" outlineLevel="0" collapsed="false">
      <c r="A13" s="2" t="n">
        <f aca="false">'Données brutes'!A13</f>
        <v>12</v>
      </c>
      <c r="B13" s="2" t="str">
        <f aca="false">IF('Données brutes'!Y13="","",'Données brutes'!Y13)</f>
        <v/>
      </c>
      <c r="C13" s="2" t="str">
        <f aca="false">IF('Données brutes'!Z13="","",6-'Données brutes'!Z13)</f>
        <v/>
      </c>
      <c r="D13" s="2" t="str">
        <f aca="false">IF('Données brutes'!AA13="","",'Données brutes'!AA13)</f>
        <v/>
      </c>
      <c r="E13" s="2" t="n">
        <f aca="false">IF('Données brutes'!AB13="","",'Données brutes'!AB13)</f>
        <v>5</v>
      </c>
      <c r="F13" s="2" t="n">
        <f aca="false">IF('Données brutes'!AC13="","",6-'Données brutes'!AC13)</f>
        <v>3</v>
      </c>
      <c r="G13" s="2" t="n">
        <f aca="false">IF('Données brutes'!AD13="","",6-'Données brutes'!AD13)</f>
        <v>2</v>
      </c>
      <c r="H13" s="2" t="n">
        <f aca="false">IF('Données brutes'!AE13="","",'Données brutes'!AE13)</f>
        <v>5</v>
      </c>
      <c r="I13" s="2" t="n">
        <f aca="false">IF('Données brutes'!AF13="","",'Données brutes'!AF13)</f>
        <v>3</v>
      </c>
      <c r="J13" s="2" t="n">
        <f aca="false">IF('Données brutes'!AG13="","",6-'Données brutes'!AG13)</f>
        <v>4</v>
      </c>
      <c r="K13" s="2" t="n">
        <f aca="false">IF('Données brutes'!AO13="","",'Données brutes'!AO13)</f>
        <v>3</v>
      </c>
      <c r="L13" s="2" t="n">
        <f aca="false">IF('Données brutes'!AP13="","",6-'Données brutes'!AP13)</f>
        <v>2</v>
      </c>
      <c r="M13" s="2" t="n">
        <f aca="false">IF('Données brutes'!AQ13="","",'Données brutes'!AQ13)</f>
        <v>3</v>
      </c>
      <c r="N13" s="2" t="n">
        <f aca="false">IF('Données brutes'!AR13="","",'Données brutes'!AR13)</f>
        <v>3</v>
      </c>
      <c r="O13" s="2" t="n">
        <f aca="false">IF('Données brutes'!AS13="","",'Données brutes'!AS13)</f>
        <v>3</v>
      </c>
      <c r="P13" s="2" t="n">
        <f aca="false">IF('Données brutes'!AT13="","",'Données brutes'!AT13)</f>
        <v>4</v>
      </c>
      <c r="Q13" s="2" t="n">
        <f aca="false">IF('Données brutes'!AU13="","",'Données brutes'!AU13)</f>
        <v>5</v>
      </c>
      <c r="R13" s="2" t="n">
        <f aca="false">IF('Données brutes'!BC13="","",'Données brutes'!BC13)</f>
        <v>3</v>
      </c>
      <c r="S13" s="2" t="n">
        <f aca="false">IF('Données brutes'!BD13="","",'Données brutes'!BD13)</f>
        <v>3</v>
      </c>
      <c r="T13" s="2" t="n">
        <f aca="false">IF('Données brutes'!BE13="","",'Données brutes'!BE13)</f>
        <v>2</v>
      </c>
      <c r="U13" s="2" t="n">
        <f aca="false">IF('Données brutes'!BF13="","",'Données brutes'!BF13)</f>
        <v>5</v>
      </c>
      <c r="V13" s="2" t="n">
        <f aca="false">IF('Données brutes'!BG13="","",6-'Données brutes'!BG13)</f>
        <v>2</v>
      </c>
      <c r="W13" s="2" t="n">
        <f aca="false">IF('Données brutes'!BH13="","",'Données brutes'!BH13)</f>
        <v>2</v>
      </c>
      <c r="X13" s="2" t="str">
        <f aca="false">IF('Données brutes'!BI13="","",'Données brutes'!BI13)</f>
        <v/>
      </c>
      <c r="Y13" s="2" t="n">
        <f aca="false">IF('Données brutes'!BJ13="","",'Données brutes'!BJ13)</f>
        <v>3</v>
      </c>
      <c r="Z13" s="2" t="n">
        <f aca="false">IF('Données brutes'!BK13="","",6-'Données brutes'!BK13)</f>
        <v>2</v>
      </c>
      <c r="AA13" s="2" t="n">
        <f aca="false">IF('Données brutes'!BL13="","",6-'Données brutes'!BL13)</f>
        <v>1</v>
      </c>
      <c r="AB13" s="2" t="n">
        <f aca="false">IF('Données brutes'!BM13="","",6-'Données brutes'!BM13)</f>
        <v>3</v>
      </c>
      <c r="AC13" s="2" t="n">
        <f aca="false">IF('Données brutes'!BN13="","",6-'Données brutes'!BN13)</f>
        <v>3</v>
      </c>
      <c r="AD13" s="2" t="n">
        <f aca="false">IF('Données brutes'!BO13="","",6-'Données brutes'!BO13)</f>
        <v>1</v>
      </c>
      <c r="AE13" s="2" t="n">
        <f aca="false">IF('Données brutes'!BP13="","",6-'Données brutes'!BP13)</f>
        <v>5</v>
      </c>
      <c r="AF13" s="2" t="n">
        <f aca="false">IF('Données brutes'!BQ13="","",6-'Données brutes'!BQ13)</f>
        <v>4</v>
      </c>
      <c r="AG13" s="2" t="n">
        <f aca="false">IF('Données brutes'!BR13="","",'Données brutes'!BR13)</f>
        <v>4</v>
      </c>
      <c r="AH13" s="2" t="n">
        <f aca="false">IF('Données brutes'!BS13="","",'Données brutes'!BS13)</f>
        <v>3</v>
      </c>
      <c r="AI13" s="2" t="n">
        <f aca="false">IF('Données brutes'!BT13="","",'Données brutes'!BT13)</f>
        <v>4</v>
      </c>
      <c r="AJ13" s="2" t="n">
        <f aca="false">IF('Données brutes'!BU13="","",'Données brutes'!BU13)</f>
        <v>4</v>
      </c>
      <c r="AK13" s="2" t="n">
        <f aca="false">IF('Données brutes'!BV13="","",'Données brutes'!BV13)</f>
        <v>1</v>
      </c>
      <c r="AL13" s="2" t="n">
        <f aca="false">IF('Données brutes'!BW13="","",'Données brutes'!BW13)</f>
        <v>2</v>
      </c>
      <c r="AM13" s="2" t="n">
        <f aca="false">IF('Données brutes'!BX13="","",'Données brutes'!BX13)</f>
        <v>1</v>
      </c>
      <c r="AN13" s="2" t="n">
        <f aca="false">IF('Données brutes'!BY13="","",'Données brutes'!BY13)</f>
        <v>3</v>
      </c>
      <c r="AO13" s="2" t="n">
        <f aca="false">IF('Données brutes'!BZ13="","",'Données brutes'!BZ13)</f>
        <v>4</v>
      </c>
      <c r="AP13" s="2" t="n">
        <f aca="false">IF('Données brutes'!CG13="","",'Données brutes'!CG13)</f>
        <v>3</v>
      </c>
      <c r="AQ13" s="2" t="n">
        <f aca="false">IF('Données brutes'!CH13="","",'Données brutes'!CH13)</f>
        <v>4</v>
      </c>
      <c r="AR13" s="2" t="n">
        <f aca="false">IF('Données brutes'!CI13="","",'Données brutes'!CI13)</f>
        <v>3</v>
      </c>
      <c r="AS13" s="2" t="n">
        <f aca="false">IF('Données brutes'!CJ13="","",'Données brutes'!CJ13)</f>
        <v>3</v>
      </c>
      <c r="AT13" s="4" t="str">
        <f aca="false">IFERROR(AVERAGE(B13:D13),"")</f>
        <v/>
      </c>
      <c r="AU13" s="4" t="n">
        <f aca="false">IFERROR(AVERAGE(E13:J13),"")</f>
        <v>3.66666666666667</v>
      </c>
      <c r="AV13" s="4" t="n">
        <f aca="false">IFERROR(AVERAGE(K13:Q13),"")</f>
        <v>3.28571428571429</v>
      </c>
      <c r="AW13" s="4" t="n">
        <f aca="false">IFERROR(AVERAGE(R13:Y13),"")</f>
        <v>2.85714285714286</v>
      </c>
      <c r="AX13" s="4" t="n">
        <f aca="false">IFERROR(AVERAGE(Z13:AF13),"")</f>
        <v>2.71428571428571</v>
      </c>
      <c r="AY13" s="4" t="n">
        <f aca="false">IFERROR(AVERAGE(AG13:AJ13),"")</f>
        <v>3.75</v>
      </c>
      <c r="AZ13" s="4" t="n">
        <f aca="false">IFERROR(AVERAGE(AK13:AO13),"")</f>
        <v>2.2</v>
      </c>
      <c r="BA13" s="4" t="n">
        <f aca="false">IFERROR(AVERAGE(AP13:AS13),"")</f>
        <v>3.25</v>
      </c>
      <c r="BB13" s="4" t="n">
        <f aca="false">IFERROR(AVERAGE(B13:AS13),"")</f>
        <v>3.075</v>
      </c>
    </row>
    <row r="14" customFormat="false" ht="15" hidden="false" customHeight="false" outlineLevel="0" collapsed="false">
      <c r="A14" s="2" t="n">
        <f aca="false">'Données brutes'!A14</f>
        <v>13</v>
      </c>
      <c r="B14" s="2" t="str">
        <f aca="false">IF('Données brutes'!Y14="","",'Données brutes'!Y14)</f>
        <v/>
      </c>
      <c r="C14" s="2" t="str">
        <f aca="false">IF('Données brutes'!Z14="","",6-'Données brutes'!Z14)</f>
        <v/>
      </c>
      <c r="D14" s="2" t="str">
        <f aca="false">IF('Données brutes'!AA14="","",'Données brutes'!AA14)</f>
        <v/>
      </c>
      <c r="E14" s="2" t="n">
        <f aca="false">IF('Données brutes'!AB14="","",'Données brutes'!AB14)</f>
        <v>3</v>
      </c>
      <c r="F14" s="2" t="n">
        <f aca="false">IF('Données brutes'!AC14="","",6-'Données brutes'!AC14)</f>
        <v>2</v>
      </c>
      <c r="G14" s="2" t="n">
        <f aca="false">IF('Données brutes'!AD14="","",6-'Données brutes'!AD14)</f>
        <v>3</v>
      </c>
      <c r="H14" s="2" t="n">
        <f aca="false">IF('Données brutes'!AE14="","",'Données brutes'!AE14)</f>
        <v>1</v>
      </c>
      <c r="I14" s="2" t="n">
        <f aca="false">IF('Données brutes'!AF14="","",'Données brutes'!AF14)</f>
        <v>4</v>
      </c>
      <c r="J14" s="2" t="n">
        <f aca="false">IF('Données brutes'!AG14="","",6-'Données brutes'!AG14)</f>
        <v>3</v>
      </c>
      <c r="K14" s="2" t="n">
        <f aca="false">IF('Données brutes'!AO14="","",'Données brutes'!AO14)</f>
        <v>4</v>
      </c>
      <c r="L14" s="2" t="n">
        <f aca="false">IF('Données brutes'!AP14="","",6-'Données brutes'!AP14)</f>
        <v>2</v>
      </c>
      <c r="M14" s="2" t="n">
        <f aca="false">IF('Données brutes'!AQ14="","",'Données brutes'!AQ14)</f>
        <v>3</v>
      </c>
      <c r="N14" s="2" t="n">
        <f aca="false">IF('Données brutes'!AR14="","",'Données brutes'!AR14)</f>
        <v>5</v>
      </c>
      <c r="O14" s="2" t="n">
        <f aca="false">IF('Données brutes'!AS14="","",'Données brutes'!AS14)</f>
        <v>1</v>
      </c>
      <c r="P14" s="2" t="n">
        <f aca="false">IF('Données brutes'!AT14="","",'Données brutes'!AT14)</f>
        <v>4</v>
      </c>
      <c r="Q14" s="2" t="n">
        <f aca="false">IF('Données brutes'!AU14="","",'Données brutes'!AU14)</f>
        <v>4</v>
      </c>
      <c r="R14" s="2" t="n">
        <f aca="false">IF('Données brutes'!BC14="","",'Données brutes'!BC14)</f>
        <v>5</v>
      </c>
      <c r="S14" s="2" t="n">
        <f aca="false">IF('Données brutes'!BD14="","",'Données brutes'!BD14)</f>
        <v>1</v>
      </c>
      <c r="T14" s="2" t="n">
        <f aca="false">IF('Données brutes'!BE14="","",'Données brutes'!BE14)</f>
        <v>1</v>
      </c>
      <c r="U14" s="2" t="n">
        <f aca="false">IF('Données brutes'!BF14="","",'Données brutes'!BF14)</f>
        <v>3</v>
      </c>
      <c r="V14" s="2" t="n">
        <f aca="false">IF('Données brutes'!BG14="","",6-'Données brutes'!BG14)</f>
        <v>3</v>
      </c>
      <c r="W14" s="2" t="n">
        <f aca="false">IF('Données brutes'!BH14="","",'Données brutes'!BH14)</f>
        <v>4</v>
      </c>
      <c r="X14" s="2" t="n">
        <f aca="false">IF('Données brutes'!BI14="","",'Données brutes'!BI14)</f>
        <v>5</v>
      </c>
      <c r="Y14" s="2" t="n">
        <f aca="false">IF('Données brutes'!BJ14="","",'Données brutes'!BJ14)</f>
        <v>2</v>
      </c>
      <c r="Z14" s="2" t="n">
        <f aca="false">IF('Données brutes'!BK14="","",6-'Données brutes'!BK14)</f>
        <v>3</v>
      </c>
      <c r="AA14" s="2" t="n">
        <f aca="false">IF('Données brutes'!BL14="","",6-'Données brutes'!BL14)</f>
        <v>2</v>
      </c>
      <c r="AB14" s="2" t="n">
        <f aca="false">IF('Données brutes'!BM14="","",6-'Données brutes'!BM14)</f>
        <v>3</v>
      </c>
      <c r="AC14" s="2" t="n">
        <f aca="false">IF('Données brutes'!BN14="","",6-'Données brutes'!BN14)</f>
        <v>3</v>
      </c>
      <c r="AD14" s="2" t="n">
        <f aca="false">IF('Données brutes'!BO14="","",6-'Données brutes'!BO14)</f>
        <v>3</v>
      </c>
      <c r="AE14" s="2" t="n">
        <f aca="false">IF('Données brutes'!BP14="","",6-'Données brutes'!BP14)</f>
        <v>1</v>
      </c>
      <c r="AF14" s="2" t="n">
        <f aca="false">IF('Données brutes'!BQ14="","",6-'Données brutes'!BQ14)</f>
        <v>2</v>
      </c>
      <c r="AG14" s="2" t="n">
        <f aca="false">IF('Données brutes'!BR14="","",'Données brutes'!BR14)</f>
        <v>4</v>
      </c>
      <c r="AH14" s="2" t="n">
        <f aca="false">IF('Données brutes'!BS14="","",'Données brutes'!BS14)</f>
        <v>4</v>
      </c>
      <c r="AI14" s="2" t="n">
        <f aca="false">IF('Données brutes'!BT14="","",'Données brutes'!BT14)</f>
        <v>3</v>
      </c>
      <c r="AJ14" s="2" t="n">
        <f aca="false">IF('Données brutes'!BU14="","",'Données brutes'!BU14)</f>
        <v>3</v>
      </c>
      <c r="AK14" s="2" t="n">
        <f aca="false">IF('Données brutes'!BV14="","",'Données brutes'!BV14)</f>
        <v>2</v>
      </c>
      <c r="AL14" s="2" t="n">
        <f aca="false">IF('Données brutes'!BW14="","",'Données brutes'!BW14)</f>
        <v>3</v>
      </c>
      <c r="AM14" s="2" t="n">
        <f aca="false">IF('Données brutes'!BX14="","",'Données brutes'!BX14)</f>
        <v>3</v>
      </c>
      <c r="AN14" s="2" t="n">
        <f aca="false">IF('Données brutes'!BY14="","",'Données brutes'!BY14)</f>
        <v>1</v>
      </c>
      <c r="AO14" s="2" t="n">
        <f aca="false">IF('Données brutes'!BZ14="","",'Données brutes'!BZ14)</f>
        <v>2</v>
      </c>
      <c r="AP14" s="2" t="n">
        <f aca="false">IF('Données brutes'!CG14="","",'Données brutes'!CG14)</f>
        <v>5</v>
      </c>
      <c r="AQ14" s="2" t="n">
        <f aca="false">IF('Données brutes'!CH14="","",'Données brutes'!CH14)</f>
        <v>3</v>
      </c>
      <c r="AR14" s="2" t="n">
        <f aca="false">IF('Données brutes'!CI14="","",'Données brutes'!CI14)</f>
        <v>5</v>
      </c>
      <c r="AS14" s="2" t="n">
        <f aca="false">IF('Données brutes'!CJ14="","",'Données brutes'!CJ14)</f>
        <v>5</v>
      </c>
      <c r="AT14" s="4" t="str">
        <f aca="false">IFERROR(AVERAGE(B14:D14),"")</f>
        <v/>
      </c>
      <c r="AU14" s="4" t="n">
        <f aca="false">IFERROR(AVERAGE(E14:J14),"")</f>
        <v>2.66666666666667</v>
      </c>
      <c r="AV14" s="4" t="n">
        <f aca="false">IFERROR(AVERAGE(K14:Q14),"")</f>
        <v>3.28571428571429</v>
      </c>
      <c r="AW14" s="4" t="n">
        <f aca="false">IFERROR(AVERAGE(R14:Y14),"")</f>
        <v>3</v>
      </c>
      <c r="AX14" s="4" t="n">
        <f aca="false">IFERROR(AVERAGE(Z14:AF14),"")</f>
        <v>2.42857142857143</v>
      </c>
      <c r="AY14" s="4" t="n">
        <f aca="false">IFERROR(AVERAGE(AG14:AJ14),"")</f>
        <v>3.5</v>
      </c>
      <c r="AZ14" s="4" t="n">
        <f aca="false">IFERROR(AVERAGE(AK14:AO14),"")</f>
        <v>2.2</v>
      </c>
      <c r="BA14" s="4" t="n">
        <f aca="false">IFERROR(AVERAGE(AP14:AS14),"")</f>
        <v>4.5</v>
      </c>
      <c r="BB14" s="4" t="n">
        <f aca="false">IFERROR(AVERAGE(B14:AS14),"")</f>
        <v>3</v>
      </c>
    </row>
    <row r="15" customFormat="false" ht="15" hidden="false" customHeight="false" outlineLevel="0" collapsed="false">
      <c r="A15" s="2" t="n">
        <f aca="false">'Données brutes'!A15</f>
        <v>14</v>
      </c>
      <c r="B15" s="2" t="str">
        <f aca="false">IF('Données brutes'!Y15="","",'Données brutes'!Y15)</f>
        <v/>
      </c>
      <c r="C15" s="2" t="str">
        <f aca="false">IF('Données brutes'!Z15="","",6-'Données brutes'!Z15)</f>
        <v/>
      </c>
      <c r="D15" s="2" t="str">
        <f aca="false">IF('Données brutes'!AA15="","",'Données brutes'!AA15)</f>
        <v/>
      </c>
      <c r="E15" s="2" t="n">
        <f aca="false">IF('Données brutes'!AB15="","",'Données brutes'!AB15)</f>
        <v>4</v>
      </c>
      <c r="F15" s="2" t="n">
        <f aca="false">IF('Données brutes'!AC15="","",6-'Données brutes'!AC15)</f>
        <v>3</v>
      </c>
      <c r="G15" s="2" t="n">
        <f aca="false">IF('Données brutes'!AD15="","",6-'Données brutes'!AD15)</f>
        <v>2</v>
      </c>
      <c r="H15" s="2" t="n">
        <f aca="false">IF('Données brutes'!AE15="","",'Données brutes'!AE15)</f>
        <v>1</v>
      </c>
      <c r="I15" s="2" t="n">
        <f aca="false">IF('Données brutes'!AF15="","",'Données brutes'!AF15)</f>
        <v>2</v>
      </c>
      <c r="J15" s="2" t="n">
        <f aca="false">IF('Données brutes'!AG15="","",6-'Données brutes'!AG15)</f>
        <v>3</v>
      </c>
      <c r="K15" s="2" t="n">
        <f aca="false">IF('Données brutes'!AO15="","",'Données brutes'!AO15)</f>
        <v>5</v>
      </c>
      <c r="L15" s="2" t="n">
        <f aca="false">IF('Données brutes'!AP15="","",6-'Données brutes'!AP15)</f>
        <v>3</v>
      </c>
      <c r="M15" s="2" t="n">
        <f aca="false">IF('Données brutes'!AQ15="","",'Données brutes'!AQ15)</f>
        <v>5</v>
      </c>
      <c r="N15" s="2" t="n">
        <f aca="false">IF('Données brutes'!AR15="","",'Données brutes'!AR15)</f>
        <v>3</v>
      </c>
      <c r="O15" s="2" t="n">
        <f aca="false">IF('Données brutes'!AS15="","",'Données brutes'!AS15)</f>
        <v>4</v>
      </c>
      <c r="P15" s="2" t="n">
        <f aca="false">IF('Données brutes'!AT15="","",'Données brutes'!AT15)</f>
        <v>2</v>
      </c>
      <c r="Q15" s="2" t="n">
        <f aca="false">IF('Données brutes'!AU15="","",'Données brutes'!AU15)</f>
        <v>4</v>
      </c>
      <c r="R15" s="2" t="n">
        <f aca="false">IF('Données brutes'!BC15="","",'Données brutes'!BC15)</f>
        <v>4</v>
      </c>
      <c r="S15" s="2" t="n">
        <f aca="false">IF('Données brutes'!BD15="","",'Données brutes'!BD15)</f>
        <v>4</v>
      </c>
      <c r="T15" s="2" t="n">
        <f aca="false">IF('Données brutes'!BE15="","",'Données brutes'!BE15)</f>
        <v>4</v>
      </c>
      <c r="U15" s="2" t="n">
        <f aca="false">IF('Données brutes'!BF15="","",'Données brutes'!BF15)</f>
        <v>2</v>
      </c>
      <c r="V15" s="2" t="n">
        <f aca="false">IF('Données brutes'!BG15="","",6-'Données brutes'!BG15)</f>
        <v>3</v>
      </c>
      <c r="W15" s="2" t="n">
        <f aca="false">IF('Données brutes'!BH15="","",'Données brutes'!BH15)</f>
        <v>1</v>
      </c>
      <c r="X15" s="2" t="n">
        <f aca="false">IF('Données brutes'!BI15="","",'Données brutes'!BI15)</f>
        <v>2</v>
      </c>
      <c r="Y15" s="2" t="n">
        <f aca="false">IF('Données brutes'!BJ15="","",'Données brutes'!BJ15)</f>
        <v>1</v>
      </c>
      <c r="Z15" s="2" t="n">
        <f aca="false">IF('Données brutes'!BK15="","",6-'Données brutes'!BK15)</f>
        <v>2</v>
      </c>
      <c r="AA15" s="2" t="n">
        <f aca="false">IF('Données brutes'!BL15="","",6-'Données brutes'!BL15)</f>
        <v>3</v>
      </c>
      <c r="AB15" s="2" t="n">
        <f aca="false">IF('Données brutes'!BM15="","",6-'Données brutes'!BM15)</f>
        <v>1</v>
      </c>
      <c r="AC15" s="2" t="n">
        <f aca="false">IF('Données brutes'!BN15="","",6-'Données brutes'!BN15)</f>
        <v>1</v>
      </c>
      <c r="AD15" s="2" t="str">
        <f aca="false">IF('Données brutes'!BO15="","",6-'Données brutes'!BO15)</f>
        <v/>
      </c>
      <c r="AE15" s="2" t="n">
        <f aca="false">IF('Données brutes'!BP15="","",6-'Données brutes'!BP15)</f>
        <v>3</v>
      </c>
      <c r="AF15" s="2" t="n">
        <f aca="false">IF('Données brutes'!BQ15="","",6-'Données brutes'!BQ15)</f>
        <v>4</v>
      </c>
      <c r="AG15" s="2" t="n">
        <f aca="false">IF('Données brutes'!BR15="","",'Données brutes'!BR15)</f>
        <v>1</v>
      </c>
      <c r="AH15" s="2" t="n">
        <f aca="false">IF('Données brutes'!BS15="","",'Données brutes'!BS15)</f>
        <v>4</v>
      </c>
      <c r="AI15" s="2" t="n">
        <f aca="false">IF('Données brutes'!BT15="","",'Données brutes'!BT15)</f>
        <v>4</v>
      </c>
      <c r="AJ15" s="2" t="n">
        <f aca="false">IF('Données brutes'!BU15="","",'Données brutes'!BU15)</f>
        <v>2</v>
      </c>
      <c r="AK15" s="2" t="n">
        <f aca="false">IF('Données brutes'!BV15="","",'Données brutes'!BV15)</f>
        <v>3</v>
      </c>
      <c r="AL15" s="2" t="n">
        <f aca="false">IF('Données brutes'!BW15="","",'Données brutes'!BW15)</f>
        <v>4</v>
      </c>
      <c r="AM15" s="2" t="n">
        <f aca="false">IF('Données brutes'!BX15="","",'Données brutes'!BX15)</f>
        <v>2</v>
      </c>
      <c r="AN15" s="2" t="n">
        <f aca="false">IF('Données brutes'!BY15="","",'Données brutes'!BY15)</f>
        <v>3</v>
      </c>
      <c r="AO15" s="2" t="n">
        <f aca="false">IF('Données brutes'!BZ15="","",'Données brutes'!BZ15)</f>
        <v>1</v>
      </c>
      <c r="AP15" s="2" t="n">
        <f aca="false">IF('Données brutes'!CG15="","",'Données brutes'!CG15)</f>
        <v>3</v>
      </c>
      <c r="AQ15" s="2" t="n">
        <f aca="false">IF('Données brutes'!CH15="","",'Données brutes'!CH15)</f>
        <v>3</v>
      </c>
      <c r="AR15" s="2" t="n">
        <f aca="false">IF('Données brutes'!CI15="","",'Données brutes'!CI15)</f>
        <v>3</v>
      </c>
      <c r="AS15" s="2" t="n">
        <f aca="false">IF('Données brutes'!CJ15="","",'Données brutes'!CJ15)</f>
        <v>2</v>
      </c>
      <c r="AT15" s="4" t="str">
        <f aca="false">IFERROR(AVERAGE(B15:D15),"")</f>
        <v/>
      </c>
      <c r="AU15" s="4" t="n">
        <f aca="false">IFERROR(AVERAGE(E15:J15),"")</f>
        <v>2.5</v>
      </c>
      <c r="AV15" s="4" t="n">
        <f aca="false">IFERROR(AVERAGE(K15:Q15),"")</f>
        <v>3.71428571428571</v>
      </c>
      <c r="AW15" s="4" t="n">
        <f aca="false">IFERROR(AVERAGE(R15:Y15),"")</f>
        <v>2.625</v>
      </c>
      <c r="AX15" s="4" t="n">
        <f aca="false">IFERROR(AVERAGE(Z15:AF15),"")</f>
        <v>2.33333333333333</v>
      </c>
      <c r="AY15" s="4" t="n">
        <f aca="false">IFERROR(AVERAGE(AG15:AJ15),"")</f>
        <v>2.75</v>
      </c>
      <c r="AZ15" s="4" t="n">
        <f aca="false">IFERROR(AVERAGE(AK15:AO15),"")</f>
        <v>2.6</v>
      </c>
      <c r="BA15" s="4" t="n">
        <f aca="false">IFERROR(AVERAGE(AP15:AS15),"")</f>
        <v>2.75</v>
      </c>
      <c r="BB15" s="4" t="n">
        <f aca="false">IFERROR(AVERAGE(B15:AS15),"")</f>
        <v>2.775</v>
      </c>
    </row>
    <row r="16" customFormat="false" ht="15" hidden="false" customHeight="false" outlineLevel="0" collapsed="false">
      <c r="A16" s="2" t="n">
        <f aca="false">'Données brutes'!A16</f>
        <v>15</v>
      </c>
      <c r="B16" s="2" t="n">
        <f aca="false">IF('Données brutes'!Y16="","",'Données brutes'!Y16)</f>
        <v>4</v>
      </c>
      <c r="C16" s="2" t="n">
        <f aca="false">IF('Données brutes'!Z16="","",6-'Données brutes'!Z16)</f>
        <v>3</v>
      </c>
      <c r="D16" s="2" t="n">
        <f aca="false">IF('Données brutes'!AA16="","",'Données brutes'!AA16)</f>
        <v>4</v>
      </c>
      <c r="E16" s="2" t="n">
        <f aca="false">IF('Données brutes'!AB16="","",'Données brutes'!AB16)</f>
        <v>3</v>
      </c>
      <c r="F16" s="2" t="n">
        <f aca="false">IF('Données brutes'!AC16="","",6-'Données brutes'!AC16)</f>
        <v>4</v>
      </c>
      <c r="G16" s="2" t="n">
        <f aca="false">IF('Données brutes'!AD16="","",6-'Données brutes'!AD16)</f>
        <v>3</v>
      </c>
      <c r="H16" s="2" t="n">
        <f aca="false">IF('Données brutes'!AE16="","",'Données brutes'!AE16)</f>
        <v>4</v>
      </c>
      <c r="I16" s="2" t="n">
        <f aca="false">IF('Données brutes'!AF16="","",'Données brutes'!AF16)</f>
        <v>2</v>
      </c>
      <c r="J16" s="2" t="n">
        <f aca="false">IF('Données brutes'!AG16="","",6-'Données brutes'!AG16)</f>
        <v>3</v>
      </c>
      <c r="K16" s="2" t="n">
        <f aca="false">IF('Données brutes'!AO16="","",'Données brutes'!AO16)</f>
        <v>1</v>
      </c>
      <c r="L16" s="2" t="n">
        <f aca="false">IF('Données brutes'!AP16="","",6-'Données brutes'!AP16)</f>
        <v>2</v>
      </c>
      <c r="M16" s="2" t="n">
        <f aca="false">IF('Données brutes'!AQ16="","",'Données brutes'!AQ16)</f>
        <v>3</v>
      </c>
      <c r="N16" s="2" t="n">
        <f aca="false">IF('Données brutes'!AR16="","",'Données brutes'!AR16)</f>
        <v>1</v>
      </c>
      <c r="O16" s="2" t="n">
        <f aca="false">IF('Données brutes'!AS16="","",'Données brutes'!AS16)</f>
        <v>2</v>
      </c>
      <c r="P16" s="2" t="n">
        <f aca="false">IF('Données brutes'!AT16="","",'Données brutes'!AT16)</f>
        <v>4</v>
      </c>
      <c r="Q16" s="2" t="n">
        <f aca="false">IF('Données brutes'!AU16="","",'Données brutes'!AU16)</f>
        <v>5</v>
      </c>
      <c r="R16" s="2" t="n">
        <f aca="false">IF('Données brutes'!BC16="","",'Données brutes'!BC16)</f>
        <v>4</v>
      </c>
      <c r="S16" s="2" t="n">
        <f aca="false">IF('Données brutes'!BD16="","",'Données brutes'!BD16)</f>
        <v>5</v>
      </c>
      <c r="T16" s="2" t="n">
        <f aca="false">IF('Données brutes'!BE16="","",'Données brutes'!BE16)</f>
        <v>3</v>
      </c>
      <c r="U16" s="2" t="n">
        <f aca="false">IF('Données brutes'!BF16="","",'Données brutes'!BF16)</f>
        <v>4</v>
      </c>
      <c r="V16" s="2" t="n">
        <f aca="false">IF('Données brutes'!BG16="","",6-'Données brutes'!BG16)</f>
        <v>2</v>
      </c>
      <c r="W16" s="2" t="n">
        <f aca="false">IF('Données brutes'!BH16="","",'Données brutes'!BH16)</f>
        <v>2</v>
      </c>
      <c r="X16" s="2" t="n">
        <f aca="false">IF('Données brutes'!BI16="","",'Données brutes'!BI16)</f>
        <v>4</v>
      </c>
      <c r="Y16" s="2" t="n">
        <f aca="false">IF('Données brutes'!BJ16="","",'Données brutes'!BJ16)</f>
        <v>3</v>
      </c>
      <c r="Z16" s="2" t="n">
        <f aca="false">IF('Données brutes'!BK16="","",6-'Données brutes'!BK16)</f>
        <v>5</v>
      </c>
      <c r="AA16" s="2" t="n">
        <f aca="false">IF('Données brutes'!BL16="","",6-'Données brutes'!BL16)</f>
        <v>2</v>
      </c>
      <c r="AB16" s="2" t="n">
        <f aca="false">IF('Données brutes'!BM16="","",6-'Données brutes'!BM16)</f>
        <v>3</v>
      </c>
      <c r="AC16" s="2" t="n">
        <f aca="false">IF('Données brutes'!BN16="","",6-'Données brutes'!BN16)</f>
        <v>3</v>
      </c>
      <c r="AD16" s="2" t="n">
        <f aca="false">IF('Données brutes'!BO16="","",6-'Données brutes'!BO16)</f>
        <v>1</v>
      </c>
      <c r="AE16" s="2" t="n">
        <f aca="false">IF('Données brutes'!BP16="","",6-'Données brutes'!BP16)</f>
        <v>4</v>
      </c>
      <c r="AF16" s="2" t="n">
        <f aca="false">IF('Données brutes'!BQ16="","",6-'Données brutes'!BQ16)</f>
        <v>2</v>
      </c>
      <c r="AG16" s="2" t="n">
        <f aca="false">IF('Données brutes'!BR16="","",'Données brutes'!BR16)</f>
        <v>5</v>
      </c>
      <c r="AH16" s="2" t="n">
        <f aca="false">IF('Données brutes'!BS16="","",'Données brutes'!BS16)</f>
        <v>3</v>
      </c>
      <c r="AI16" s="2" t="n">
        <f aca="false">IF('Données brutes'!BT16="","",'Données brutes'!BT16)</f>
        <v>2</v>
      </c>
      <c r="AJ16" s="2" t="n">
        <f aca="false">IF('Données brutes'!BU16="","",'Données brutes'!BU16)</f>
        <v>4</v>
      </c>
      <c r="AK16" s="2" t="n">
        <f aca="false">IF('Données brutes'!BV16="","",'Données brutes'!BV16)</f>
        <v>2</v>
      </c>
      <c r="AL16" s="2" t="n">
        <f aca="false">IF('Données brutes'!BW16="","",'Données brutes'!BW16)</f>
        <v>5</v>
      </c>
      <c r="AM16" s="2" t="n">
        <f aca="false">IF('Données brutes'!BX16="","",'Données brutes'!BX16)</f>
        <v>4</v>
      </c>
      <c r="AN16" s="2" t="n">
        <f aca="false">IF('Données brutes'!BY16="","",'Données brutes'!BY16)</f>
        <v>3</v>
      </c>
      <c r="AO16" s="2" t="n">
        <f aca="false">IF('Données brutes'!BZ16="","",'Données brutes'!BZ16)</f>
        <v>3</v>
      </c>
      <c r="AP16" s="2" t="n">
        <f aca="false">IF('Données brutes'!CG16="","",'Données brutes'!CG16)</f>
        <v>3</v>
      </c>
      <c r="AQ16" s="2" t="n">
        <f aca="false">IF('Données brutes'!CH16="","",'Données brutes'!CH16)</f>
        <v>2</v>
      </c>
      <c r="AR16" s="2" t="n">
        <f aca="false">IF('Données brutes'!CI16="","",'Données brutes'!CI16)</f>
        <v>4</v>
      </c>
      <c r="AS16" s="2" t="n">
        <f aca="false">IF('Données brutes'!CJ16="","",'Données brutes'!CJ16)</f>
        <v>4</v>
      </c>
      <c r="AT16" s="4" t="n">
        <f aca="false">IFERROR(AVERAGE(B16:D16),"")</f>
        <v>3.66666666666667</v>
      </c>
      <c r="AU16" s="4" t="n">
        <f aca="false">IFERROR(AVERAGE(E16:J16),"")</f>
        <v>3.16666666666667</v>
      </c>
      <c r="AV16" s="4" t="n">
        <f aca="false">IFERROR(AVERAGE(K16:Q16),"")</f>
        <v>2.57142857142857</v>
      </c>
      <c r="AW16" s="4" t="n">
        <f aca="false">IFERROR(AVERAGE(R16:Y16),"")</f>
        <v>3.375</v>
      </c>
      <c r="AX16" s="4" t="n">
        <f aca="false">IFERROR(AVERAGE(Z16:AF16),"")</f>
        <v>2.85714285714286</v>
      </c>
      <c r="AY16" s="4" t="n">
        <f aca="false">IFERROR(AVERAGE(AG16:AJ16),"")</f>
        <v>3.5</v>
      </c>
      <c r="AZ16" s="4" t="n">
        <f aca="false">IFERROR(AVERAGE(AK16:AO16),"")</f>
        <v>3.4</v>
      </c>
      <c r="BA16" s="4" t="n">
        <f aca="false">IFERROR(AVERAGE(AP16:AS16),"")</f>
        <v>3.25</v>
      </c>
      <c r="BB16" s="4" t="n">
        <f aca="false">IFERROR(AVERAGE(B16:AS16),"")</f>
        <v>3.15909090909091</v>
      </c>
    </row>
    <row r="17" customFormat="false" ht="15" hidden="false" customHeight="false" outlineLevel="0" collapsed="false">
      <c r="A17" s="2" t="n">
        <f aca="false">'Données brutes'!A17</f>
        <v>16</v>
      </c>
      <c r="B17" s="2" t="str">
        <f aca="false">IF('Données brutes'!Y17="","",'Données brutes'!Y17)</f>
        <v/>
      </c>
      <c r="C17" s="2" t="str">
        <f aca="false">IF('Données brutes'!Z17="","",6-'Données brutes'!Z17)</f>
        <v/>
      </c>
      <c r="D17" s="2" t="str">
        <f aca="false">IF('Données brutes'!AA17="","",'Données brutes'!AA17)</f>
        <v/>
      </c>
      <c r="E17" s="2" t="n">
        <f aca="false">IF('Données brutes'!AB17="","",'Données brutes'!AB17)</f>
        <v>4</v>
      </c>
      <c r="F17" s="2" t="n">
        <f aca="false">IF('Données brutes'!AC17="","",6-'Données brutes'!AC17)</f>
        <v>2</v>
      </c>
      <c r="G17" s="2" t="n">
        <f aca="false">IF('Données brutes'!AD17="","",6-'Données brutes'!AD17)</f>
        <v>4</v>
      </c>
      <c r="H17" s="2" t="str">
        <f aca="false">IF('Données brutes'!AE17="","",'Données brutes'!AE17)</f>
        <v/>
      </c>
      <c r="I17" s="2" t="n">
        <f aca="false">IF('Données brutes'!AF17="","",'Données brutes'!AF17)</f>
        <v>5</v>
      </c>
      <c r="J17" s="2" t="n">
        <f aca="false">IF('Données brutes'!AG17="","",6-'Données brutes'!AG17)</f>
        <v>4</v>
      </c>
      <c r="K17" s="2" t="n">
        <f aca="false">IF('Données brutes'!AO17="","",'Données brutes'!AO17)</f>
        <v>3</v>
      </c>
      <c r="L17" s="2" t="n">
        <f aca="false">IF('Données brutes'!AP17="","",6-'Données brutes'!AP17)</f>
        <v>2</v>
      </c>
      <c r="M17" s="2" t="n">
        <f aca="false">IF('Données brutes'!AQ17="","",'Données brutes'!AQ17)</f>
        <v>3</v>
      </c>
      <c r="N17" s="2" t="n">
        <f aca="false">IF('Données brutes'!AR17="","",'Données brutes'!AR17)</f>
        <v>2</v>
      </c>
      <c r="O17" s="2" t="n">
        <f aca="false">IF('Données brutes'!AS17="","",'Données brutes'!AS17)</f>
        <v>3</v>
      </c>
      <c r="P17" s="2" t="n">
        <f aca="false">IF('Données brutes'!AT17="","",'Données brutes'!AT17)</f>
        <v>2</v>
      </c>
      <c r="Q17" s="2" t="n">
        <f aca="false">IF('Données brutes'!AU17="","",'Données brutes'!AU17)</f>
        <v>1</v>
      </c>
      <c r="R17" s="2" t="n">
        <f aca="false">IF('Données brutes'!BC17="","",'Données brutes'!BC17)</f>
        <v>4</v>
      </c>
      <c r="S17" s="2" t="n">
        <f aca="false">IF('Données brutes'!BD17="","",'Données brutes'!BD17)</f>
        <v>5</v>
      </c>
      <c r="T17" s="2" t="n">
        <f aca="false">IF('Données brutes'!BE17="","",'Données brutes'!BE17)</f>
        <v>4</v>
      </c>
      <c r="U17" s="2" t="n">
        <f aca="false">IF('Données brutes'!BF17="","",'Données brutes'!BF17)</f>
        <v>4</v>
      </c>
      <c r="V17" s="2" t="n">
        <f aca="false">IF('Données brutes'!BG17="","",6-'Données brutes'!BG17)</f>
        <v>2</v>
      </c>
      <c r="W17" s="2" t="n">
        <f aca="false">IF('Données brutes'!BH17="","",'Données brutes'!BH17)</f>
        <v>5</v>
      </c>
      <c r="X17" s="2" t="n">
        <f aca="false">IF('Données brutes'!BI17="","",'Données brutes'!BI17)</f>
        <v>2</v>
      </c>
      <c r="Y17" s="2" t="n">
        <f aca="false">IF('Données brutes'!BJ17="","",'Données brutes'!BJ17)</f>
        <v>3</v>
      </c>
      <c r="Z17" s="2" t="n">
        <f aca="false">IF('Données brutes'!BK17="","",6-'Données brutes'!BK17)</f>
        <v>3</v>
      </c>
      <c r="AA17" s="2" t="n">
        <f aca="false">IF('Données brutes'!BL17="","",6-'Données brutes'!BL17)</f>
        <v>3</v>
      </c>
      <c r="AB17" s="2" t="n">
        <f aca="false">IF('Données brutes'!BM17="","",6-'Données brutes'!BM17)</f>
        <v>2</v>
      </c>
      <c r="AC17" s="2" t="n">
        <f aca="false">IF('Données brutes'!BN17="","",6-'Données brutes'!BN17)</f>
        <v>2</v>
      </c>
      <c r="AD17" s="2" t="n">
        <f aca="false">IF('Données brutes'!BO17="","",6-'Données brutes'!BO17)</f>
        <v>3</v>
      </c>
      <c r="AE17" s="2" t="n">
        <f aca="false">IF('Données brutes'!BP17="","",6-'Données brutes'!BP17)</f>
        <v>3</v>
      </c>
      <c r="AF17" s="2" t="n">
        <f aca="false">IF('Données brutes'!BQ17="","",6-'Données brutes'!BQ17)</f>
        <v>4</v>
      </c>
      <c r="AG17" s="2" t="n">
        <f aca="false">IF('Données brutes'!BR17="","",'Données brutes'!BR17)</f>
        <v>2</v>
      </c>
      <c r="AH17" s="2" t="n">
        <f aca="false">IF('Données brutes'!BS17="","",'Données brutes'!BS17)</f>
        <v>1</v>
      </c>
      <c r="AI17" s="2" t="n">
        <f aca="false">IF('Données brutes'!BT17="","",'Données brutes'!BT17)</f>
        <v>5</v>
      </c>
      <c r="AJ17" s="2" t="n">
        <f aca="false">IF('Données brutes'!BU17="","",'Données brutes'!BU17)</f>
        <v>4</v>
      </c>
      <c r="AK17" s="2" t="n">
        <f aca="false">IF('Données brutes'!BV17="","",'Données brutes'!BV17)</f>
        <v>5</v>
      </c>
      <c r="AL17" s="2" t="n">
        <f aca="false">IF('Données brutes'!BW17="","",'Données brutes'!BW17)</f>
        <v>5</v>
      </c>
      <c r="AM17" s="2" t="n">
        <f aca="false">IF('Données brutes'!BX17="","",'Données brutes'!BX17)</f>
        <v>3</v>
      </c>
      <c r="AN17" s="2" t="n">
        <f aca="false">IF('Données brutes'!BY17="","",'Données brutes'!BY17)</f>
        <v>1</v>
      </c>
      <c r="AO17" s="2" t="n">
        <f aca="false">IF('Données brutes'!BZ17="","",'Données brutes'!BZ17)</f>
        <v>2</v>
      </c>
      <c r="AP17" s="2" t="n">
        <f aca="false">IF('Données brutes'!CG17="","",'Données brutes'!CG17)</f>
        <v>1</v>
      </c>
      <c r="AQ17" s="2" t="n">
        <f aca="false">IF('Données brutes'!CH17="","",'Données brutes'!CH17)</f>
        <v>3</v>
      </c>
      <c r="AR17" s="2" t="n">
        <f aca="false">IF('Données brutes'!CI17="","",'Données brutes'!CI17)</f>
        <v>4</v>
      </c>
      <c r="AS17" s="2" t="n">
        <f aca="false">IF('Données brutes'!CJ17="","",'Données brutes'!CJ17)</f>
        <v>3</v>
      </c>
      <c r="AT17" s="4" t="str">
        <f aca="false">IFERROR(AVERAGE(B17:D17),"")</f>
        <v/>
      </c>
      <c r="AU17" s="4" t="n">
        <f aca="false">IFERROR(AVERAGE(E17:J17),"")</f>
        <v>3.8</v>
      </c>
      <c r="AV17" s="4" t="n">
        <f aca="false">IFERROR(AVERAGE(K17:Q17),"")</f>
        <v>2.28571428571429</v>
      </c>
      <c r="AW17" s="4" t="n">
        <f aca="false">IFERROR(AVERAGE(R17:Y17),"")</f>
        <v>3.625</v>
      </c>
      <c r="AX17" s="4" t="n">
        <f aca="false">IFERROR(AVERAGE(Z17:AF17),"")</f>
        <v>2.85714285714286</v>
      </c>
      <c r="AY17" s="4" t="n">
        <f aca="false">IFERROR(AVERAGE(AG17:AJ17),"")</f>
        <v>3</v>
      </c>
      <c r="AZ17" s="4" t="n">
        <f aca="false">IFERROR(AVERAGE(AK17:AO17),"")</f>
        <v>3.2</v>
      </c>
      <c r="BA17" s="4" t="n">
        <f aca="false">IFERROR(AVERAGE(AP17:AS17),"")</f>
        <v>2.75</v>
      </c>
      <c r="BB17" s="4" t="n">
        <f aca="false">IFERROR(AVERAGE(B17:AS17),"")</f>
        <v>3.075</v>
      </c>
    </row>
    <row r="18" customFormat="false" ht="15" hidden="false" customHeight="false" outlineLevel="0" collapsed="false">
      <c r="A18" s="2" t="n">
        <f aca="false">'Données brutes'!A18</f>
        <v>17</v>
      </c>
      <c r="B18" s="2" t="str">
        <f aca="false">IF('Données brutes'!Y18="","",'Données brutes'!Y18)</f>
        <v/>
      </c>
      <c r="C18" s="2" t="str">
        <f aca="false">IF('Données brutes'!Z18="","",6-'Données brutes'!Z18)</f>
        <v/>
      </c>
      <c r="D18" s="2" t="str">
        <f aca="false">IF('Données brutes'!AA18="","",'Données brutes'!AA18)</f>
        <v/>
      </c>
      <c r="E18" s="2" t="n">
        <f aca="false">IF('Données brutes'!AB18="","",'Données brutes'!AB18)</f>
        <v>2</v>
      </c>
      <c r="F18" s="2" t="n">
        <f aca="false">IF('Données brutes'!AC18="","",6-'Données brutes'!AC18)</f>
        <v>2</v>
      </c>
      <c r="G18" s="2" t="n">
        <f aca="false">IF('Données brutes'!AD18="","",6-'Données brutes'!AD18)</f>
        <v>2</v>
      </c>
      <c r="H18" s="2" t="n">
        <f aca="false">IF('Données brutes'!AE18="","",'Données brutes'!AE18)</f>
        <v>3</v>
      </c>
      <c r="I18" s="2" t="n">
        <f aca="false">IF('Données brutes'!AF18="","",'Données brutes'!AF18)</f>
        <v>4</v>
      </c>
      <c r="J18" s="2" t="n">
        <f aca="false">IF('Données brutes'!AG18="","",6-'Données brutes'!AG18)</f>
        <v>5</v>
      </c>
      <c r="K18" s="2" t="n">
        <f aca="false">IF('Données brutes'!AO18="","",'Données brutes'!AO18)</f>
        <v>4</v>
      </c>
      <c r="L18" s="2" t="n">
        <f aca="false">IF('Données brutes'!AP18="","",6-'Données brutes'!AP18)</f>
        <v>3</v>
      </c>
      <c r="M18" s="2" t="str">
        <f aca="false">IF('Données brutes'!AQ18="","",'Données brutes'!AQ18)</f>
        <v/>
      </c>
      <c r="N18" s="2" t="str">
        <f aca="false">IF('Données brutes'!AR18="","",'Données brutes'!AR18)</f>
        <v/>
      </c>
      <c r="O18" s="2" t="n">
        <f aca="false">IF('Données brutes'!AS18="","",'Données brutes'!AS18)</f>
        <v>1</v>
      </c>
      <c r="P18" s="2" t="n">
        <f aca="false">IF('Données brutes'!AT18="","",'Données brutes'!AT18)</f>
        <v>2</v>
      </c>
      <c r="Q18" s="2" t="str">
        <f aca="false">IF('Données brutes'!AU18="","",'Données brutes'!AU18)</f>
        <v/>
      </c>
      <c r="R18" s="2" t="n">
        <f aca="false">IF('Données brutes'!BC18="","",'Données brutes'!BC18)</f>
        <v>5</v>
      </c>
      <c r="S18" s="2" t="n">
        <f aca="false">IF('Données brutes'!BD18="","",'Données brutes'!BD18)</f>
        <v>4</v>
      </c>
      <c r="T18" s="2" t="n">
        <f aca="false">IF('Données brutes'!BE18="","",'Données brutes'!BE18)</f>
        <v>2</v>
      </c>
      <c r="U18" s="2" t="n">
        <f aca="false">IF('Données brutes'!BF18="","",'Données brutes'!BF18)</f>
        <v>2</v>
      </c>
      <c r="V18" s="2" t="n">
        <f aca="false">IF('Données brutes'!BG18="","",6-'Données brutes'!BG18)</f>
        <v>2</v>
      </c>
      <c r="W18" s="2" t="n">
        <f aca="false">IF('Données brutes'!BH18="","",'Données brutes'!BH18)</f>
        <v>2</v>
      </c>
      <c r="X18" s="2" t="n">
        <f aca="false">IF('Données brutes'!BI18="","",'Données brutes'!BI18)</f>
        <v>2</v>
      </c>
      <c r="Y18" s="2" t="n">
        <f aca="false">IF('Données brutes'!BJ18="","",'Données brutes'!BJ18)</f>
        <v>3</v>
      </c>
      <c r="Z18" s="2" t="n">
        <f aca="false">IF('Données brutes'!BK18="","",6-'Données brutes'!BK18)</f>
        <v>3</v>
      </c>
      <c r="AA18" s="2" t="n">
        <f aca="false">IF('Données brutes'!BL18="","",6-'Données brutes'!BL18)</f>
        <v>3</v>
      </c>
      <c r="AB18" s="2" t="n">
        <f aca="false">IF('Données brutes'!BM18="","",6-'Données brutes'!BM18)</f>
        <v>3</v>
      </c>
      <c r="AC18" s="2" t="n">
        <f aca="false">IF('Données brutes'!BN18="","",6-'Données brutes'!BN18)</f>
        <v>4</v>
      </c>
      <c r="AD18" s="2" t="n">
        <f aca="false">IF('Données brutes'!BO18="","",6-'Données brutes'!BO18)</f>
        <v>3</v>
      </c>
      <c r="AE18" s="2" t="n">
        <f aca="false">IF('Données brutes'!BP18="","",6-'Données brutes'!BP18)</f>
        <v>1</v>
      </c>
      <c r="AF18" s="2" t="n">
        <f aca="false">IF('Données brutes'!BQ18="","",6-'Données brutes'!BQ18)</f>
        <v>4</v>
      </c>
      <c r="AG18" s="2" t="n">
        <f aca="false">IF('Données brutes'!BR18="","",'Données brutes'!BR18)</f>
        <v>2</v>
      </c>
      <c r="AH18" s="2" t="n">
        <f aca="false">IF('Données brutes'!BS18="","",'Données brutes'!BS18)</f>
        <v>5</v>
      </c>
      <c r="AI18" s="2" t="n">
        <f aca="false">IF('Données brutes'!BT18="","",'Données brutes'!BT18)</f>
        <v>4</v>
      </c>
      <c r="AJ18" s="2" t="n">
        <f aca="false">IF('Données brutes'!BU18="","",'Données brutes'!BU18)</f>
        <v>3</v>
      </c>
      <c r="AK18" s="2" t="n">
        <f aca="false">IF('Données brutes'!BV18="","",'Données brutes'!BV18)</f>
        <v>5</v>
      </c>
      <c r="AL18" s="2" t="n">
        <f aca="false">IF('Données brutes'!BW18="","",'Données brutes'!BW18)</f>
        <v>5</v>
      </c>
      <c r="AM18" s="2" t="str">
        <f aca="false">IF('Données brutes'!BX18="","",'Données brutes'!BX18)</f>
        <v/>
      </c>
      <c r="AN18" s="2" t="n">
        <f aca="false">IF('Données brutes'!BY18="","",'Données brutes'!BY18)</f>
        <v>3</v>
      </c>
      <c r="AO18" s="2" t="n">
        <f aca="false">IF('Données brutes'!BZ18="","",'Données brutes'!BZ18)</f>
        <v>5</v>
      </c>
      <c r="AP18" s="2" t="n">
        <f aca="false">IF('Données brutes'!CG18="","",'Données brutes'!CG18)</f>
        <v>3</v>
      </c>
      <c r="AQ18" s="2" t="str">
        <f aca="false">IF('Données brutes'!CH18="","",'Données brutes'!CH18)</f>
        <v/>
      </c>
      <c r="AR18" s="2" t="n">
        <f aca="false">IF('Données brutes'!CI18="","",'Données brutes'!CI18)</f>
        <v>5</v>
      </c>
      <c r="AS18" s="2" t="n">
        <f aca="false">IF('Données brutes'!CJ18="","",'Données brutes'!CJ18)</f>
        <v>3</v>
      </c>
      <c r="AT18" s="4" t="str">
        <f aca="false">IFERROR(AVERAGE(B18:D18),"")</f>
        <v/>
      </c>
      <c r="AU18" s="4" t="n">
        <f aca="false">IFERROR(AVERAGE(E18:J18),"")</f>
        <v>3</v>
      </c>
      <c r="AV18" s="4" t="n">
        <f aca="false">IFERROR(AVERAGE(K18:Q18),"")</f>
        <v>2.5</v>
      </c>
      <c r="AW18" s="4" t="n">
        <f aca="false">IFERROR(AVERAGE(R18:Y18),"")</f>
        <v>2.75</v>
      </c>
      <c r="AX18" s="4" t="n">
        <f aca="false">IFERROR(AVERAGE(Z18:AF18),"")</f>
        <v>3</v>
      </c>
      <c r="AY18" s="4" t="n">
        <f aca="false">IFERROR(AVERAGE(AG18:AJ18),"")</f>
        <v>3.5</v>
      </c>
      <c r="AZ18" s="4" t="n">
        <f aca="false">IFERROR(AVERAGE(AK18:AO18),"")</f>
        <v>4.5</v>
      </c>
      <c r="BA18" s="4" t="n">
        <f aca="false">IFERROR(AVERAGE(AP18:AS18),"")</f>
        <v>3.66666666666667</v>
      </c>
      <c r="BB18" s="4" t="n">
        <f aca="false">IFERROR(AVERAGE(B18:AS18),"")</f>
        <v>3.16666666666667</v>
      </c>
    </row>
    <row r="19" customFormat="false" ht="15" hidden="false" customHeight="false" outlineLevel="0" collapsed="false">
      <c r="A19" s="2" t="n">
        <f aca="false">'Données brutes'!A19</f>
        <v>18</v>
      </c>
      <c r="B19" s="2" t="n">
        <f aca="false">IF('Données brutes'!Y19="","",'Données brutes'!Y19)</f>
        <v>3</v>
      </c>
      <c r="C19" s="2" t="n">
        <f aca="false">IF('Données brutes'!Z19="","",6-'Données brutes'!Z19)</f>
        <v>1</v>
      </c>
      <c r="D19" s="2" t="n">
        <f aca="false">IF('Données brutes'!AA19="","",'Données brutes'!AA19)</f>
        <v>3</v>
      </c>
      <c r="E19" s="2" t="n">
        <f aca="false">IF('Données brutes'!AB19="","",'Données brutes'!AB19)</f>
        <v>4</v>
      </c>
      <c r="F19" s="2" t="n">
        <f aca="false">IF('Données brutes'!AC19="","",6-'Données brutes'!AC19)</f>
        <v>4</v>
      </c>
      <c r="G19" s="2" t="n">
        <f aca="false">IF('Données brutes'!AD19="","",6-'Données brutes'!AD19)</f>
        <v>1</v>
      </c>
      <c r="H19" s="2" t="n">
        <f aca="false">IF('Données brutes'!AE19="","",'Données brutes'!AE19)</f>
        <v>2</v>
      </c>
      <c r="I19" s="2" t="n">
        <f aca="false">IF('Données brutes'!AF19="","",'Données brutes'!AF19)</f>
        <v>4</v>
      </c>
      <c r="J19" s="2" t="n">
        <f aca="false">IF('Données brutes'!AG19="","",6-'Données brutes'!AG19)</f>
        <v>2</v>
      </c>
      <c r="K19" s="2" t="n">
        <f aca="false">IF('Données brutes'!AO19="","",'Données brutes'!AO19)</f>
        <v>3</v>
      </c>
      <c r="L19" s="2" t="n">
        <f aca="false">IF('Données brutes'!AP19="","",6-'Données brutes'!AP19)</f>
        <v>1</v>
      </c>
      <c r="M19" s="2" t="n">
        <f aca="false">IF('Données brutes'!AQ19="","",'Données brutes'!AQ19)</f>
        <v>3</v>
      </c>
      <c r="N19" s="2" t="n">
        <f aca="false">IF('Données brutes'!AR19="","",'Données brutes'!AR19)</f>
        <v>4</v>
      </c>
      <c r="O19" s="2" t="n">
        <f aca="false">IF('Données brutes'!AS19="","",'Données brutes'!AS19)</f>
        <v>3</v>
      </c>
      <c r="P19" s="2" t="n">
        <f aca="false">IF('Données brutes'!AT19="","",'Données brutes'!AT19)</f>
        <v>2</v>
      </c>
      <c r="Q19" s="2" t="n">
        <f aca="false">IF('Données brutes'!AU19="","",'Données brutes'!AU19)</f>
        <v>4</v>
      </c>
      <c r="R19" s="2" t="n">
        <f aca="false">IF('Données brutes'!BC19="","",'Données brutes'!BC19)</f>
        <v>3</v>
      </c>
      <c r="S19" s="2" t="n">
        <f aca="false">IF('Données brutes'!BD19="","",'Données brutes'!BD19)</f>
        <v>2</v>
      </c>
      <c r="T19" s="2" t="n">
        <f aca="false">IF('Données brutes'!BE19="","",'Données brutes'!BE19)</f>
        <v>2</v>
      </c>
      <c r="U19" s="2" t="n">
        <f aca="false">IF('Données brutes'!BF19="","",'Données brutes'!BF19)</f>
        <v>3</v>
      </c>
      <c r="V19" s="2" t="n">
        <f aca="false">IF('Données brutes'!BG19="","",6-'Données brutes'!BG19)</f>
        <v>3</v>
      </c>
      <c r="W19" s="2" t="n">
        <f aca="false">IF('Données brutes'!BH19="","",'Données brutes'!BH19)</f>
        <v>2</v>
      </c>
      <c r="X19" s="2" t="n">
        <f aca="false">IF('Données brutes'!BI19="","",'Données brutes'!BI19)</f>
        <v>5</v>
      </c>
      <c r="Y19" s="2" t="n">
        <f aca="false">IF('Données brutes'!BJ19="","",'Données brutes'!BJ19)</f>
        <v>5</v>
      </c>
      <c r="Z19" s="2" t="n">
        <f aca="false">IF('Données brutes'!BK19="","",6-'Données brutes'!BK19)</f>
        <v>2</v>
      </c>
      <c r="AA19" s="2" t="n">
        <f aca="false">IF('Données brutes'!BL19="","",6-'Données brutes'!BL19)</f>
        <v>1</v>
      </c>
      <c r="AB19" s="2" t="n">
        <f aca="false">IF('Données brutes'!BM19="","",6-'Données brutes'!BM19)</f>
        <v>3</v>
      </c>
      <c r="AC19" s="2" t="n">
        <f aca="false">IF('Données brutes'!BN19="","",6-'Données brutes'!BN19)</f>
        <v>1</v>
      </c>
      <c r="AD19" s="2" t="n">
        <f aca="false">IF('Données brutes'!BO19="","",6-'Données brutes'!BO19)</f>
        <v>1</v>
      </c>
      <c r="AE19" s="2" t="n">
        <f aca="false">IF('Données brutes'!BP19="","",6-'Données brutes'!BP19)</f>
        <v>4</v>
      </c>
      <c r="AF19" s="2" t="n">
        <f aca="false">IF('Données brutes'!BQ19="","",6-'Données brutes'!BQ19)</f>
        <v>3</v>
      </c>
      <c r="AG19" s="2" t="n">
        <f aca="false">IF('Données brutes'!BR19="","",'Données brutes'!BR19)</f>
        <v>5</v>
      </c>
      <c r="AH19" s="2" t="n">
        <f aca="false">IF('Données brutes'!BS19="","",'Données brutes'!BS19)</f>
        <v>4</v>
      </c>
      <c r="AI19" s="2" t="n">
        <f aca="false">IF('Données brutes'!BT19="","",'Données brutes'!BT19)</f>
        <v>2</v>
      </c>
      <c r="AJ19" s="2" t="n">
        <f aca="false">IF('Données brutes'!BU19="","",'Données brutes'!BU19)</f>
        <v>2</v>
      </c>
      <c r="AK19" s="2" t="n">
        <f aca="false">IF('Données brutes'!BV19="","",'Données brutes'!BV19)</f>
        <v>2</v>
      </c>
      <c r="AL19" s="2" t="n">
        <f aca="false">IF('Données brutes'!BW19="","",'Données brutes'!BW19)</f>
        <v>4</v>
      </c>
      <c r="AM19" s="2" t="n">
        <f aca="false">IF('Données brutes'!BX19="","",'Données brutes'!BX19)</f>
        <v>3</v>
      </c>
      <c r="AN19" s="2" t="n">
        <f aca="false">IF('Données brutes'!BY19="","",'Données brutes'!BY19)</f>
        <v>4</v>
      </c>
      <c r="AO19" s="2" t="n">
        <f aca="false">IF('Données brutes'!BZ19="","",'Données brutes'!BZ19)</f>
        <v>2</v>
      </c>
      <c r="AP19" s="2" t="n">
        <f aca="false">IF('Données brutes'!CG19="","",'Données brutes'!CG19)</f>
        <v>3</v>
      </c>
      <c r="AQ19" s="2" t="n">
        <f aca="false">IF('Données brutes'!CH19="","",'Données brutes'!CH19)</f>
        <v>4</v>
      </c>
      <c r="AR19" s="2" t="n">
        <f aca="false">IF('Données brutes'!CI19="","",'Données brutes'!CI19)</f>
        <v>4</v>
      </c>
      <c r="AS19" s="2" t="n">
        <f aca="false">IF('Données brutes'!CJ19="","",'Données brutes'!CJ19)</f>
        <v>3</v>
      </c>
      <c r="AT19" s="4" t="n">
        <f aca="false">IFERROR(AVERAGE(B19:D19),"")</f>
        <v>2.33333333333333</v>
      </c>
      <c r="AU19" s="4" t="n">
        <f aca="false">IFERROR(AVERAGE(E19:J19),"")</f>
        <v>2.83333333333333</v>
      </c>
      <c r="AV19" s="4" t="n">
        <f aca="false">IFERROR(AVERAGE(K19:Q19),"")</f>
        <v>2.85714285714286</v>
      </c>
      <c r="AW19" s="4" t="n">
        <f aca="false">IFERROR(AVERAGE(R19:Y19),"")</f>
        <v>3.125</v>
      </c>
      <c r="AX19" s="4" t="n">
        <f aca="false">IFERROR(AVERAGE(Z19:AF19),"")</f>
        <v>2.14285714285714</v>
      </c>
      <c r="AY19" s="4" t="n">
        <f aca="false">IFERROR(AVERAGE(AG19:AJ19),"")</f>
        <v>3.25</v>
      </c>
      <c r="AZ19" s="4" t="n">
        <f aca="false">IFERROR(AVERAGE(AK19:AO19),"")</f>
        <v>3</v>
      </c>
      <c r="BA19" s="4" t="n">
        <f aca="false">IFERROR(AVERAGE(AP19:AS19),"")</f>
        <v>3.5</v>
      </c>
      <c r="BB19" s="4" t="n">
        <f aca="false">IFERROR(AVERAGE(B19:AS19),"")</f>
        <v>2.86363636363636</v>
      </c>
    </row>
    <row r="20" customFormat="false" ht="15" hidden="false" customHeight="false" outlineLevel="0" collapsed="false">
      <c r="A20" s="2" t="n">
        <f aca="false">'Données brutes'!A20</f>
        <v>19</v>
      </c>
      <c r="B20" s="2" t="str">
        <f aca="false">IF('Données brutes'!Y20="","",'Données brutes'!Y20)</f>
        <v/>
      </c>
      <c r="C20" s="2" t="str">
        <f aca="false">IF('Données brutes'!Z20="","",6-'Données brutes'!Z20)</f>
        <v/>
      </c>
      <c r="D20" s="2" t="str">
        <f aca="false">IF('Données brutes'!AA20="","",'Données brutes'!AA20)</f>
        <v/>
      </c>
      <c r="E20" s="2" t="n">
        <f aca="false">IF('Données brutes'!AB20="","",'Données brutes'!AB20)</f>
        <v>3</v>
      </c>
      <c r="F20" s="2" t="n">
        <f aca="false">IF('Données brutes'!AC20="","",6-'Données brutes'!AC20)</f>
        <v>1</v>
      </c>
      <c r="G20" s="2" t="n">
        <f aca="false">IF('Données brutes'!AD20="","",6-'Données brutes'!AD20)</f>
        <v>1</v>
      </c>
      <c r="H20" s="2" t="n">
        <f aca="false">IF('Données brutes'!AE20="","",'Données brutes'!AE20)</f>
        <v>5</v>
      </c>
      <c r="I20" s="2" t="n">
        <f aca="false">IF('Données brutes'!AF20="","",'Données brutes'!AF20)</f>
        <v>3</v>
      </c>
      <c r="J20" s="2" t="n">
        <f aca="false">IF('Données brutes'!AG20="","",6-'Données brutes'!AG20)</f>
        <v>3</v>
      </c>
      <c r="K20" s="2" t="n">
        <f aca="false">IF('Données brutes'!AO20="","",'Données brutes'!AO20)</f>
        <v>3</v>
      </c>
      <c r="L20" s="2" t="n">
        <f aca="false">IF('Données brutes'!AP20="","",6-'Données brutes'!AP20)</f>
        <v>1</v>
      </c>
      <c r="M20" s="2" t="n">
        <f aca="false">IF('Données brutes'!AQ20="","",'Données brutes'!AQ20)</f>
        <v>5</v>
      </c>
      <c r="N20" s="2" t="n">
        <f aca="false">IF('Données brutes'!AR20="","",'Données brutes'!AR20)</f>
        <v>3</v>
      </c>
      <c r="O20" s="2" t="n">
        <f aca="false">IF('Données brutes'!AS20="","",'Données brutes'!AS20)</f>
        <v>1</v>
      </c>
      <c r="P20" s="2" t="n">
        <f aca="false">IF('Données brutes'!AT20="","",'Données brutes'!AT20)</f>
        <v>5</v>
      </c>
      <c r="Q20" s="2" t="n">
        <f aca="false">IF('Données brutes'!AU20="","",'Données brutes'!AU20)</f>
        <v>3</v>
      </c>
      <c r="R20" s="2" t="n">
        <f aca="false">IF('Données brutes'!BC20="","",'Données brutes'!BC20)</f>
        <v>5</v>
      </c>
      <c r="S20" s="2" t="n">
        <f aca="false">IF('Données brutes'!BD20="","",'Données brutes'!BD20)</f>
        <v>5</v>
      </c>
      <c r="T20" s="2" t="n">
        <f aca="false">IF('Données brutes'!BE20="","",'Données brutes'!BE20)</f>
        <v>4</v>
      </c>
      <c r="U20" s="2" t="n">
        <f aca="false">IF('Données brutes'!BF20="","",'Données brutes'!BF20)</f>
        <v>2</v>
      </c>
      <c r="V20" s="2" t="n">
        <f aca="false">IF('Données brutes'!BG20="","",6-'Données brutes'!BG20)</f>
        <v>2</v>
      </c>
      <c r="W20" s="2" t="n">
        <f aca="false">IF('Données brutes'!BH20="","",'Données brutes'!BH20)</f>
        <v>2</v>
      </c>
      <c r="X20" s="2" t="n">
        <f aca="false">IF('Données brutes'!BI20="","",'Données brutes'!BI20)</f>
        <v>5</v>
      </c>
      <c r="Y20" s="2" t="n">
        <f aca="false">IF('Données brutes'!BJ20="","",'Données brutes'!BJ20)</f>
        <v>3</v>
      </c>
      <c r="Z20" s="2" t="n">
        <f aca="false">IF('Données brutes'!BK20="","",6-'Données brutes'!BK20)</f>
        <v>5</v>
      </c>
      <c r="AA20" s="2" t="n">
        <f aca="false">IF('Données brutes'!BL20="","",6-'Données brutes'!BL20)</f>
        <v>3</v>
      </c>
      <c r="AB20" s="2" t="n">
        <f aca="false">IF('Données brutes'!BM20="","",6-'Données brutes'!BM20)</f>
        <v>3</v>
      </c>
      <c r="AC20" s="2" t="n">
        <f aca="false">IF('Données brutes'!BN20="","",6-'Données brutes'!BN20)</f>
        <v>4</v>
      </c>
      <c r="AD20" s="2" t="str">
        <f aca="false">IF('Données brutes'!BO20="","",6-'Données brutes'!BO20)</f>
        <v/>
      </c>
      <c r="AE20" s="2" t="n">
        <f aca="false">IF('Données brutes'!BP20="","",6-'Données brutes'!BP20)</f>
        <v>1</v>
      </c>
      <c r="AF20" s="2" t="n">
        <f aca="false">IF('Données brutes'!BQ20="","",6-'Données brutes'!BQ20)</f>
        <v>2</v>
      </c>
      <c r="AG20" s="2" t="n">
        <f aca="false">IF('Données brutes'!BR20="","",'Données brutes'!BR20)</f>
        <v>4</v>
      </c>
      <c r="AH20" s="2" t="n">
        <f aca="false">IF('Données brutes'!BS20="","",'Données brutes'!BS20)</f>
        <v>1</v>
      </c>
      <c r="AI20" s="2" t="n">
        <f aca="false">IF('Données brutes'!BT20="","",'Données brutes'!BT20)</f>
        <v>3</v>
      </c>
      <c r="AJ20" s="2" t="n">
        <f aca="false">IF('Données brutes'!BU20="","",'Données brutes'!BU20)</f>
        <v>2</v>
      </c>
      <c r="AK20" s="2" t="n">
        <f aca="false">IF('Données brutes'!BV20="","",'Données brutes'!BV20)</f>
        <v>5</v>
      </c>
      <c r="AL20" s="2" t="n">
        <f aca="false">IF('Données brutes'!BW20="","",'Données brutes'!BW20)</f>
        <v>4</v>
      </c>
      <c r="AM20" s="2" t="n">
        <f aca="false">IF('Données brutes'!BX20="","",'Données brutes'!BX20)</f>
        <v>1</v>
      </c>
      <c r="AN20" s="2" t="n">
        <f aca="false">IF('Données brutes'!BY20="","",'Données brutes'!BY20)</f>
        <v>1</v>
      </c>
      <c r="AO20" s="2" t="n">
        <f aca="false">IF('Données brutes'!BZ20="","",'Données brutes'!BZ20)</f>
        <v>4</v>
      </c>
      <c r="AP20" s="2" t="n">
        <f aca="false">IF('Données brutes'!CG20="","",'Données brutes'!CG20)</f>
        <v>2</v>
      </c>
      <c r="AQ20" s="2" t="n">
        <f aca="false">IF('Données brutes'!CH20="","",'Données brutes'!CH20)</f>
        <v>2</v>
      </c>
      <c r="AR20" s="2" t="n">
        <f aca="false">IF('Données brutes'!CI20="","",'Données brutes'!CI20)</f>
        <v>4</v>
      </c>
      <c r="AS20" s="2" t="n">
        <f aca="false">IF('Données brutes'!CJ20="","",'Données brutes'!CJ20)</f>
        <v>4</v>
      </c>
      <c r="AT20" s="4" t="str">
        <f aca="false">IFERROR(AVERAGE(B20:D20),"")</f>
        <v/>
      </c>
      <c r="AU20" s="4" t="n">
        <f aca="false">IFERROR(AVERAGE(E20:J20),"")</f>
        <v>2.66666666666667</v>
      </c>
      <c r="AV20" s="4" t="n">
        <f aca="false">IFERROR(AVERAGE(K20:Q20),"")</f>
        <v>3</v>
      </c>
      <c r="AW20" s="4" t="n">
        <f aca="false">IFERROR(AVERAGE(R20:Y20),"")</f>
        <v>3.5</v>
      </c>
      <c r="AX20" s="4" t="n">
        <f aca="false">IFERROR(AVERAGE(Z20:AF20),"")</f>
        <v>3</v>
      </c>
      <c r="AY20" s="4" t="n">
        <f aca="false">IFERROR(AVERAGE(AG20:AJ20),"")</f>
        <v>2.5</v>
      </c>
      <c r="AZ20" s="4" t="n">
        <f aca="false">IFERROR(AVERAGE(AK20:AO20),"")</f>
        <v>3</v>
      </c>
      <c r="BA20" s="4" t="n">
        <f aca="false">IFERROR(AVERAGE(AP20:AS20),"")</f>
        <v>3</v>
      </c>
      <c r="BB20" s="4" t="n">
        <f aca="false">IFERROR(AVERAGE(B20:AS20),"")</f>
        <v>3</v>
      </c>
    </row>
    <row r="21" customFormat="false" ht="15" hidden="false" customHeight="false" outlineLevel="0" collapsed="false">
      <c r="A21" s="2" t="n">
        <f aca="false">'Données brutes'!A21</f>
        <v>20</v>
      </c>
      <c r="B21" s="2" t="n">
        <f aca="false">IF('Données brutes'!Y21="","",'Données brutes'!Y21)</f>
        <v>1</v>
      </c>
      <c r="C21" s="2" t="n">
        <f aca="false">IF('Données brutes'!Z21="","",6-'Données brutes'!Z21)</f>
        <v>4</v>
      </c>
      <c r="D21" s="2" t="n">
        <f aca="false">IF('Données brutes'!AA21="","",'Données brutes'!AA21)</f>
        <v>4</v>
      </c>
      <c r="E21" s="2" t="n">
        <f aca="false">IF('Données brutes'!AB21="","",'Données brutes'!AB21)</f>
        <v>4</v>
      </c>
      <c r="F21" s="2" t="n">
        <f aca="false">IF('Données brutes'!AC21="","",6-'Données brutes'!AC21)</f>
        <v>4</v>
      </c>
      <c r="G21" s="2" t="n">
        <f aca="false">IF('Données brutes'!AD21="","",6-'Données brutes'!AD21)</f>
        <v>3</v>
      </c>
      <c r="H21" s="2" t="n">
        <f aca="false">IF('Données brutes'!AE21="","",'Données brutes'!AE21)</f>
        <v>4</v>
      </c>
      <c r="I21" s="2" t="n">
        <f aca="false">IF('Données brutes'!AF21="","",'Données brutes'!AF21)</f>
        <v>2</v>
      </c>
      <c r="J21" s="2" t="n">
        <f aca="false">IF('Données brutes'!AG21="","",6-'Données brutes'!AG21)</f>
        <v>4</v>
      </c>
      <c r="K21" s="2" t="n">
        <f aca="false">IF('Données brutes'!AO21="","",'Données brutes'!AO21)</f>
        <v>3</v>
      </c>
      <c r="L21" s="2" t="n">
        <f aca="false">IF('Données brutes'!AP21="","",6-'Données brutes'!AP21)</f>
        <v>2</v>
      </c>
      <c r="M21" s="2" t="n">
        <f aca="false">IF('Données brutes'!AQ21="","",'Données brutes'!AQ21)</f>
        <v>4</v>
      </c>
      <c r="N21" s="2" t="n">
        <f aca="false">IF('Données brutes'!AR21="","",'Données brutes'!AR21)</f>
        <v>1</v>
      </c>
      <c r="O21" s="2" t="n">
        <f aca="false">IF('Données brutes'!AS21="","",'Données brutes'!AS21)</f>
        <v>3</v>
      </c>
      <c r="P21" s="2" t="n">
        <f aca="false">IF('Données brutes'!AT21="","",'Données brutes'!AT21)</f>
        <v>3</v>
      </c>
      <c r="Q21" s="2" t="n">
        <f aca="false">IF('Données brutes'!AU21="","",'Données brutes'!AU21)</f>
        <v>5</v>
      </c>
      <c r="R21" s="2" t="n">
        <f aca="false">IF('Données brutes'!BC21="","",'Données brutes'!BC21)</f>
        <v>3</v>
      </c>
      <c r="S21" s="2" t="n">
        <f aca="false">IF('Données brutes'!BD21="","",'Données brutes'!BD21)</f>
        <v>4</v>
      </c>
      <c r="T21" s="2" t="n">
        <f aca="false">IF('Données brutes'!BE21="","",'Données brutes'!BE21)</f>
        <v>3</v>
      </c>
      <c r="U21" s="2" t="n">
        <f aca="false">IF('Données brutes'!BF21="","",'Données brutes'!BF21)</f>
        <v>3</v>
      </c>
      <c r="V21" s="2" t="n">
        <f aca="false">IF('Données brutes'!BG21="","",6-'Données brutes'!BG21)</f>
        <v>3</v>
      </c>
      <c r="W21" s="2" t="n">
        <f aca="false">IF('Données brutes'!BH21="","",'Données brutes'!BH21)</f>
        <v>3</v>
      </c>
      <c r="X21" s="2" t="n">
        <f aca="false">IF('Données brutes'!BI21="","",'Données brutes'!BI21)</f>
        <v>1</v>
      </c>
      <c r="Y21" s="2" t="n">
        <f aca="false">IF('Données brutes'!BJ21="","",'Données brutes'!BJ21)</f>
        <v>5</v>
      </c>
      <c r="Z21" s="2" t="n">
        <f aca="false">IF('Données brutes'!BK21="","",6-'Données brutes'!BK21)</f>
        <v>3</v>
      </c>
      <c r="AA21" s="2" t="n">
        <f aca="false">IF('Données brutes'!BL21="","",6-'Données brutes'!BL21)</f>
        <v>3</v>
      </c>
      <c r="AB21" s="2" t="n">
        <f aca="false">IF('Données brutes'!BM21="","",6-'Données brutes'!BM21)</f>
        <v>5</v>
      </c>
      <c r="AC21" s="2" t="n">
        <f aca="false">IF('Données brutes'!BN21="","",6-'Données brutes'!BN21)</f>
        <v>3</v>
      </c>
      <c r="AD21" s="2" t="n">
        <f aca="false">IF('Données brutes'!BO21="","",6-'Données brutes'!BO21)</f>
        <v>2</v>
      </c>
      <c r="AE21" s="2" t="n">
        <f aca="false">IF('Données brutes'!BP21="","",6-'Données brutes'!BP21)</f>
        <v>1</v>
      </c>
      <c r="AF21" s="2" t="n">
        <f aca="false">IF('Données brutes'!BQ21="","",6-'Données brutes'!BQ21)</f>
        <v>2</v>
      </c>
      <c r="AG21" s="2" t="n">
        <f aca="false">IF('Données brutes'!BR21="","",'Données brutes'!BR21)</f>
        <v>5</v>
      </c>
      <c r="AH21" s="2" t="n">
        <f aca="false">IF('Données brutes'!BS21="","",'Données brutes'!BS21)</f>
        <v>5</v>
      </c>
      <c r="AI21" s="2" t="n">
        <f aca="false">IF('Données brutes'!BT21="","",'Données brutes'!BT21)</f>
        <v>5</v>
      </c>
      <c r="AJ21" s="2" t="n">
        <f aca="false">IF('Données brutes'!BU21="","",'Données brutes'!BU21)</f>
        <v>2</v>
      </c>
      <c r="AK21" s="2" t="n">
        <f aca="false">IF('Données brutes'!BV21="","",'Données brutes'!BV21)</f>
        <v>5</v>
      </c>
      <c r="AL21" s="2" t="n">
        <f aca="false">IF('Données brutes'!BW21="","",'Données brutes'!BW21)</f>
        <v>5</v>
      </c>
      <c r="AM21" s="2" t="n">
        <f aca="false">IF('Données brutes'!BX21="","",'Données brutes'!BX21)</f>
        <v>2</v>
      </c>
      <c r="AN21" s="2" t="n">
        <f aca="false">IF('Données brutes'!BY21="","",'Données brutes'!BY21)</f>
        <v>4</v>
      </c>
      <c r="AO21" s="2" t="n">
        <f aca="false">IF('Données brutes'!BZ21="","",'Données brutes'!BZ21)</f>
        <v>3</v>
      </c>
      <c r="AP21" s="2" t="n">
        <f aca="false">IF('Données brutes'!CG21="","",'Données brutes'!CG21)</f>
        <v>1</v>
      </c>
      <c r="AQ21" s="2" t="n">
        <f aca="false">IF('Données brutes'!CH21="","",'Données brutes'!CH21)</f>
        <v>5</v>
      </c>
      <c r="AR21" s="2" t="n">
        <f aca="false">IF('Données brutes'!CI21="","",'Données brutes'!CI21)</f>
        <v>5</v>
      </c>
      <c r="AS21" s="2" t="n">
        <f aca="false">IF('Données brutes'!CJ21="","",'Données brutes'!CJ21)</f>
        <v>2</v>
      </c>
      <c r="AT21" s="4" t="n">
        <f aca="false">IFERROR(AVERAGE(B21:D21),"")</f>
        <v>3</v>
      </c>
      <c r="AU21" s="4" t="n">
        <f aca="false">IFERROR(AVERAGE(E21:J21),"")</f>
        <v>3.5</v>
      </c>
      <c r="AV21" s="4" t="n">
        <f aca="false">IFERROR(AVERAGE(K21:Q21),"")</f>
        <v>3</v>
      </c>
      <c r="AW21" s="4" t="n">
        <f aca="false">IFERROR(AVERAGE(R21:Y21),"")</f>
        <v>3.125</v>
      </c>
      <c r="AX21" s="4" t="n">
        <f aca="false">IFERROR(AVERAGE(Z21:AF21),"")</f>
        <v>2.71428571428571</v>
      </c>
      <c r="AY21" s="4" t="n">
        <f aca="false">IFERROR(AVERAGE(AG21:AJ21),"")</f>
        <v>4.25</v>
      </c>
      <c r="AZ21" s="4" t="n">
        <f aca="false">IFERROR(AVERAGE(AK21:AO21),"")</f>
        <v>3.8</v>
      </c>
      <c r="BA21" s="4" t="n">
        <f aca="false">IFERROR(AVERAGE(AP21:AS21),"")</f>
        <v>3.25</v>
      </c>
      <c r="BB21" s="4" t="n">
        <f aca="false">IFERROR(AVERAGE(B21:AS21),"")</f>
        <v>3.27272727272727</v>
      </c>
    </row>
    <row r="22" customFormat="false" ht="15" hidden="false" customHeight="false" outlineLevel="0" collapsed="false">
      <c r="A22" s="2" t="n">
        <f aca="false">'Données brutes'!A22</f>
        <v>21</v>
      </c>
      <c r="B22" s="2" t="n">
        <f aca="false">IF('Données brutes'!Y22="","",'Données brutes'!Y22)</f>
        <v>5</v>
      </c>
      <c r="C22" s="2" t="n">
        <f aca="false">IF('Données brutes'!Z22="","",6-'Données brutes'!Z22)</f>
        <v>3</v>
      </c>
      <c r="D22" s="2" t="n">
        <f aca="false">IF('Données brutes'!AA22="","",'Données brutes'!AA22)</f>
        <v>4</v>
      </c>
      <c r="E22" s="2" t="n">
        <f aca="false">IF('Données brutes'!AB22="","",'Données brutes'!AB22)</f>
        <v>5</v>
      </c>
      <c r="F22" s="2" t="n">
        <f aca="false">IF('Données brutes'!AC22="","",6-'Données brutes'!AC22)</f>
        <v>5</v>
      </c>
      <c r="G22" s="2" t="n">
        <f aca="false">IF('Données brutes'!AD22="","",6-'Données brutes'!AD22)</f>
        <v>2</v>
      </c>
      <c r="H22" s="2" t="n">
        <f aca="false">IF('Données brutes'!AE22="","",'Données brutes'!AE22)</f>
        <v>4</v>
      </c>
      <c r="I22" s="2" t="n">
        <f aca="false">IF('Données brutes'!AF22="","",'Données brutes'!AF22)</f>
        <v>2</v>
      </c>
      <c r="J22" s="2" t="n">
        <f aca="false">IF('Données brutes'!AG22="","",6-'Données brutes'!AG22)</f>
        <v>2</v>
      </c>
      <c r="K22" s="2" t="n">
        <f aca="false">IF('Données brutes'!AO22="","",'Données brutes'!AO22)</f>
        <v>3</v>
      </c>
      <c r="L22" s="2" t="n">
        <f aca="false">IF('Données brutes'!AP22="","",6-'Données brutes'!AP22)</f>
        <v>4</v>
      </c>
      <c r="M22" s="2" t="n">
        <f aca="false">IF('Données brutes'!AQ22="","",'Données brutes'!AQ22)</f>
        <v>4</v>
      </c>
      <c r="N22" s="2" t="n">
        <f aca="false">IF('Données brutes'!AR22="","",'Données brutes'!AR22)</f>
        <v>4</v>
      </c>
      <c r="O22" s="2" t="n">
        <f aca="false">IF('Données brutes'!AS22="","",'Données brutes'!AS22)</f>
        <v>4</v>
      </c>
      <c r="P22" s="2" t="n">
        <f aca="false">IF('Données brutes'!AT22="","",'Données brutes'!AT22)</f>
        <v>3</v>
      </c>
      <c r="Q22" s="2" t="n">
        <f aca="false">IF('Données brutes'!AU22="","",'Données brutes'!AU22)</f>
        <v>3</v>
      </c>
      <c r="R22" s="2" t="n">
        <f aca="false">IF('Données brutes'!BC22="","",'Données brutes'!BC22)</f>
        <v>3</v>
      </c>
      <c r="S22" s="2" t="n">
        <f aca="false">IF('Données brutes'!BD22="","",'Données brutes'!BD22)</f>
        <v>4</v>
      </c>
      <c r="T22" s="2" t="n">
        <f aca="false">IF('Données brutes'!BE22="","",'Données brutes'!BE22)</f>
        <v>4</v>
      </c>
      <c r="U22" s="2" t="n">
        <f aca="false">IF('Données brutes'!BF22="","",'Données brutes'!BF22)</f>
        <v>2</v>
      </c>
      <c r="V22" s="2" t="n">
        <f aca="false">IF('Données brutes'!BG22="","",6-'Données brutes'!BG22)</f>
        <v>1</v>
      </c>
      <c r="W22" s="2" t="n">
        <f aca="false">IF('Données brutes'!BH22="","",'Données brutes'!BH22)</f>
        <v>4</v>
      </c>
      <c r="X22" s="2" t="n">
        <f aca="false">IF('Données brutes'!BI22="","",'Données brutes'!BI22)</f>
        <v>5</v>
      </c>
      <c r="Y22" s="2" t="n">
        <f aca="false">IF('Données brutes'!BJ22="","",'Données brutes'!BJ22)</f>
        <v>4</v>
      </c>
      <c r="Z22" s="2" t="n">
        <f aca="false">IF('Données brutes'!BK22="","",6-'Données brutes'!BK22)</f>
        <v>4</v>
      </c>
      <c r="AA22" s="2" t="n">
        <f aca="false">IF('Données brutes'!BL22="","",6-'Données brutes'!BL22)</f>
        <v>5</v>
      </c>
      <c r="AB22" s="2" t="n">
        <f aca="false">IF('Données brutes'!BM22="","",6-'Données brutes'!BM22)</f>
        <v>3</v>
      </c>
      <c r="AC22" s="2" t="n">
        <f aca="false">IF('Données brutes'!BN22="","",6-'Données brutes'!BN22)</f>
        <v>1</v>
      </c>
      <c r="AD22" s="2" t="n">
        <f aca="false">IF('Données brutes'!BO22="","",6-'Données brutes'!BO22)</f>
        <v>2</v>
      </c>
      <c r="AE22" s="2" t="n">
        <f aca="false">IF('Données brutes'!BP22="","",6-'Données brutes'!BP22)</f>
        <v>3</v>
      </c>
      <c r="AF22" s="2" t="n">
        <f aca="false">IF('Données brutes'!BQ22="","",6-'Données brutes'!BQ22)</f>
        <v>3</v>
      </c>
      <c r="AG22" s="2" t="n">
        <f aca="false">IF('Données brutes'!BR22="","",'Données brutes'!BR22)</f>
        <v>2</v>
      </c>
      <c r="AH22" s="2" t="n">
        <f aca="false">IF('Données brutes'!BS22="","",'Données brutes'!BS22)</f>
        <v>3</v>
      </c>
      <c r="AI22" s="2" t="n">
        <f aca="false">IF('Données brutes'!BT22="","",'Données brutes'!BT22)</f>
        <v>1</v>
      </c>
      <c r="AJ22" s="2" t="n">
        <f aca="false">IF('Données brutes'!BU22="","",'Données brutes'!BU22)</f>
        <v>3</v>
      </c>
      <c r="AK22" s="2" t="n">
        <f aca="false">IF('Données brutes'!BV22="","",'Données brutes'!BV22)</f>
        <v>4</v>
      </c>
      <c r="AL22" s="2" t="n">
        <f aca="false">IF('Données brutes'!BW22="","",'Données brutes'!BW22)</f>
        <v>3</v>
      </c>
      <c r="AM22" s="2" t="n">
        <f aca="false">IF('Données brutes'!BX22="","",'Données brutes'!BX22)</f>
        <v>4</v>
      </c>
      <c r="AN22" s="2" t="n">
        <f aca="false">IF('Données brutes'!BY22="","",'Données brutes'!BY22)</f>
        <v>4</v>
      </c>
      <c r="AO22" s="2" t="n">
        <f aca="false">IF('Données brutes'!BZ22="","",'Données brutes'!BZ22)</f>
        <v>2</v>
      </c>
      <c r="AP22" s="2" t="n">
        <f aca="false">IF('Données brutes'!CG22="","",'Données brutes'!CG22)</f>
        <v>5</v>
      </c>
      <c r="AQ22" s="2" t="n">
        <f aca="false">IF('Données brutes'!CH22="","",'Données brutes'!CH22)</f>
        <v>3</v>
      </c>
      <c r="AR22" s="2" t="n">
        <f aca="false">IF('Données brutes'!CI22="","",'Données brutes'!CI22)</f>
        <v>2</v>
      </c>
      <c r="AS22" s="2" t="n">
        <f aca="false">IF('Données brutes'!CJ22="","",'Données brutes'!CJ22)</f>
        <v>3</v>
      </c>
      <c r="AT22" s="4" t="n">
        <f aca="false">IFERROR(AVERAGE(B22:D22),"")</f>
        <v>4</v>
      </c>
      <c r="AU22" s="4" t="n">
        <f aca="false">IFERROR(AVERAGE(E22:J22),"")</f>
        <v>3.33333333333333</v>
      </c>
      <c r="AV22" s="4" t="n">
        <f aca="false">IFERROR(AVERAGE(K22:Q22),"")</f>
        <v>3.57142857142857</v>
      </c>
      <c r="AW22" s="4" t="n">
        <f aca="false">IFERROR(AVERAGE(R22:Y22),"")</f>
        <v>3.375</v>
      </c>
      <c r="AX22" s="4" t="n">
        <f aca="false">IFERROR(AVERAGE(Z22:AF22),"")</f>
        <v>3</v>
      </c>
      <c r="AY22" s="4" t="n">
        <f aca="false">IFERROR(AVERAGE(AG22:AJ22),"")</f>
        <v>2.25</v>
      </c>
      <c r="AZ22" s="4" t="n">
        <f aca="false">IFERROR(AVERAGE(AK22:AO22),"")</f>
        <v>3.4</v>
      </c>
      <c r="BA22" s="4" t="n">
        <f aca="false">IFERROR(AVERAGE(AP22:AS22),"")</f>
        <v>3.25</v>
      </c>
      <c r="BB22" s="4" t="n">
        <f aca="false">IFERROR(AVERAGE(B22:AS22),"")</f>
        <v>3.27272727272727</v>
      </c>
    </row>
    <row r="23" customFormat="false" ht="15" hidden="false" customHeight="false" outlineLevel="0" collapsed="false">
      <c r="A23" s="2" t="n">
        <f aca="false">'Données brutes'!A23</f>
        <v>22</v>
      </c>
      <c r="B23" s="2" t="n">
        <f aca="false">IF('Données brutes'!Y23="","",'Données brutes'!Y23)</f>
        <v>4</v>
      </c>
      <c r="C23" s="2" t="n">
        <f aca="false">IF('Données brutes'!Z23="","",6-'Données brutes'!Z23)</f>
        <v>2</v>
      </c>
      <c r="D23" s="2" t="n">
        <f aca="false">IF('Données brutes'!AA23="","",'Données brutes'!AA23)</f>
        <v>3</v>
      </c>
      <c r="E23" s="2" t="n">
        <f aca="false">IF('Données brutes'!AB23="","",'Données brutes'!AB23)</f>
        <v>2</v>
      </c>
      <c r="F23" s="2" t="n">
        <f aca="false">IF('Données brutes'!AC23="","",6-'Données brutes'!AC23)</f>
        <v>2</v>
      </c>
      <c r="G23" s="2" t="n">
        <f aca="false">IF('Données brutes'!AD23="","",6-'Données brutes'!AD23)</f>
        <v>4</v>
      </c>
      <c r="H23" s="2" t="n">
        <f aca="false">IF('Données brutes'!AE23="","",'Données brutes'!AE23)</f>
        <v>5</v>
      </c>
      <c r="I23" s="2" t="n">
        <f aca="false">IF('Données brutes'!AF23="","",'Données brutes'!AF23)</f>
        <v>2</v>
      </c>
      <c r="J23" s="2" t="n">
        <f aca="false">IF('Données brutes'!AG23="","",6-'Données brutes'!AG23)</f>
        <v>4</v>
      </c>
      <c r="K23" s="2" t="n">
        <f aca="false">IF('Données brutes'!AO23="","",'Données brutes'!AO23)</f>
        <v>2</v>
      </c>
      <c r="L23" s="2" t="n">
        <f aca="false">IF('Données brutes'!AP23="","",6-'Données brutes'!AP23)</f>
        <v>3</v>
      </c>
      <c r="M23" s="2" t="n">
        <f aca="false">IF('Données brutes'!AQ23="","",'Données brutes'!AQ23)</f>
        <v>3</v>
      </c>
      <c r="N23" s="2" t="n">
        <f aca="false">IF('Données brutes'!AR23="","",'Données brutes'!AR23)</f>
        <v>4</v>
      </c>
      <c r="O23" s="2" t="n">
        <f aca="false">IF('Données brutes'!AS23="","",'Données brutes'!AS23)</f>
        <v>3</v>
      </c>
      <c r="P23" s="2" t="n">
        <f aca="false">IF('Données brutes'!AT23="","",'Données brutes'!AT23)</f>
        <v>4</v>
      </c>
      <c r="Q23" s="2" t="n">
        <f aca="false">IF('Données brutes'!AU23="","",'Données brutes'!AU23)</f>
        <v>2</v>
      </c>
      <c r="R23" s="2" t="n">
        <f aca="false">IF('Données brutes'!BC23="","",'Données brutes'!BC23)</f>
        <v>5</v>
      </c>
      <c r="S23" s="2" t="n">
        <f aca="false">IF('Données brutes'!BD23="","",'Données brutes'!BD23)</f>
        <v>4</v>
      </c>
      <c r="T23" s="2" t="n">
        <f aca="false">IF('Données brutes'!BE23="","",'Données brutes'!BE23)</f>
        <v>3</v>
      </c>
      <c r="U23" s="2" t="n">
        <f aca="false">IF('Données brutes'!BF23="","",'Données brutes'!BF23)</f>
        <v>1</v>
      </c>
      <c r="V23" s="2" t="n">
        <f aca="false">IF('Données brutes'!BG23="","",6-'Données brutes'!BG23)</f>
        <v>1</v>
      </c>
      <c r="W23" s="2" t="n">
        <f aca="false">IF('Données brutes'!BH23="","",'Données brutes'!BH23)</f>
        <v>3</v>
      </c>
      <c r="X23" s="2" t="n">
        <f aca="false">IF('Données brutes'!BI23="","",'Données brutes'!BI23)</f>
        <v>2</v>
      </c>
      <c r="Y23" s="2" t="n">
        <f aca="false">IF('Données brutes'!BJ23="","",'Données brutes'!BJ23)</f>
        <v>3</v>
      </c>
      <c r="Z23" s="2" t="n">
        <f aca="false">IF('Données brutes'!BK23="","",6-'Données brutes'!BK23)</f>
        <v>4</v>
      </c>
      <c r="AA23" s="2" t="n">
        <f aca="false">IF('Données brutes'!BL23="","",6-'Données brutes'!BL23)</f>
        <v>3</v>
      </c>
      <c r="AB23" s="2" t="n">
        <f aca="false">IF('Données brutes'!BM23="","",6-'Données brutes'!BM23)</f>
        <v>2</v>
      </c>
      <c r="AC23" s="2" t="n">
        <f aca="false">IF('Données brutes'!BN23="","",6-'Données brutes'!BN23)</f>
        <v>1</v>
      </c>
      <c r="AD23" s="2" t="n">
        <f aca="false">IF('Données brutes'!BO23="","",6-'Données brutes'!BO23)</f>
        <v>4</v>
      </c>
      <c r="AE23" s="2" t="n">
        <f aca="false">IF('Données brutes'!BP23="","",6-'Données brutes'!BP23)</f>
        <v>5</v>
      </c>
      <c r="AF23" s="2" t="n">
        <f aca="false">IF('Données brutes'!BQ23="","",6-'Données brutes'!BQ23)</f>
        <v>4</v>
      </c>
      <c r="AG23" s="2" t="n">
        <f aca="false">IF('Données brutes'!BR23="","",'Données brutes'!BR23)</f>
        <v>4</v>
      </c>
      <c r="AH23" s="2" t="n">
        <f aca="false">IF('Données brutes'!BS23="","",'Données brutes'!BS23)</f>
        <v>3</v>
      </c>
      <c r="AI23" s="2" t="n">
        <f aca="false">IF('Données brutes'!BT23="","",'Données brutes'!BT23)</f>
        <v>4</v>
      </c>
      <c r="AJ23" s="2" t="n">
        <f aca="false">IF('Données brutes'!BU23="","",'Données brutes'!BU23)</f>
        <v>5</v>
      </c>
      <c r="AK23" s="2" t="n">
        <f aca="false">IF('Données brutes'!BV23="","",'Données brutes'!BV23)</f>
        <v>4</v>
      </c>
      <c r="AL23" s="2" t="n">
        <f aca="false">IF('Données brutes'!BW23="","",'Données brutes'!BW23)</f>
        <v>3</v>
      </c>
      <c r="AM23" s="2" t="n">
        <f aca="false">IF('Données brutes'!BX23="","",'Données brutes'!BX23)</f>
        <v>2</v>
      </c>
      <c r="AN23" s="2" t="n">
        <f aca="false">IF('Données brutes'!BY23="","",'Données brutes'!BY23)</f>
        <v>5</v>
      </c>
      <c r="AO23" s="2" t="n">
        <f aca="false">IF('Données brutes'!BZ23="","",'Données brutes'!BZ23)</f>
        <v>5</v>
      </c>
      <c r="AP23" s="2" t="n">
        <f aca="false">IF('Données brutes'!CG23="","",'Données brutes'!CG23)</f>
        <v>4</v>
      </c>
      <c r="AQ23" s="2" t="n">
        <f aca="false">IF('Données brutes'!CH23="","",'Données brutes'!CH23)</f>
        <v>3</v>
      </c>
      <c r="AR23" s="2" t="n">
        <f aca="false">IF('Données brutes'!CI23="","",'Données brutes'!CI23)</f>
        <v>5</v>
      </c>
      <c r="AS23" s="2" t="n">
        <f aca="false">IF('Données brutes'!CJ23="","",'Données brutes'!CJ23)</f>
        <v>4</v>
      </c>
      <c r="AT23" s="4" t="n">
        <f aca="false">IFERROR(AVERAGE(B23:D23),"")</f>
        <v>3</v>
      </c>
      <c r="AU23" s="4" t="n">
        <f aca="false">IFERROR(AVERAGE(E23:J23),"")</f>
        <v>3.16666666666667</v>
      </c>
      <c r="AV23" s="4" t="n">
        <f aca="false">IFERROR(AVERAGE(K23:Q23),"")</f>
        <v>3</v>
      </c>
      <c r="AW23" s="4" t="n">
        <f aca="false">IFERROR(AVERAGE(R23:Y23),"")</f>
        <v>2.75</v>
      </c>
      <c r="AX23" s="4" t="n">
        <f aca="false">IFERROR(AVERAGE(Z23:AF23),"")</f>
        <v>3.28571428571429</v>
      </c>
      <c r="AY23" s="4" t="n">
        <f aca="false">IFERROR(AVERAGE(AG23:AJ23),"")</f>
        <v>4</v>
      </c>
      <c r="AZ23" s="4" t="n">
        <f aca="false">IFERROR(AVERAGE(AK23:AO23),"")</f>
        <v>3.8</v>
      </c>
      <c r="BA23" s="4" t="n">
        <f aca="false">IFERROR(AVERAGE(AP23:AS23),"")</f>
        <v>4</v>
      </c>
      <c r="BB23" s="4" t="n">
        <f aca="false">IFERROR(AVERAGE(B23:AS23),"")</f>
        <v>3.29545454545455</v>
      </c>
    </row>
    <row r="24" customFormat="false" ht="15" hidden="false" customHeight="false" outlineLevel="0" collapsed="false">
      <c r="A24" s="2" t="n">
        <f aca="false">'Données brutes'!A24</f>
        <v>23</v>
      </c>
      <c r="B24" s="2" t="n">
        <f aca="false">IF('Données brutes'!Y24="","",'Données brutes'!Y24)</f>
        <v>5</v>
      </c>
      <c r="C24" s="2" t="n">
        <f aca="false">IF('Données brutes'!Z24="","",6-'Données brutes'!Z24)</f>
        <v>5</v>
      </c>
      <c r="D24" s="2" t="n">
        <f aca="false">IF('Données brutes'!AA24="","",'Données brutes'!AA24)</f>
        <v>3</v>
      </c>
      <c r="E24" s="2" t="n">
        <f aca="false">IF('Données brutes'!AB24="","",'Données brutes'!AB24)</f>
        <v>1</v>
      </c>
      <c r="F24" s="2" t="n">
        <f aca="false">IF('Données brutes'!AC24="","",6-'Données brutes'!AC24)</f>
        <v>1</v>
      </c>
      <c r="G24" s="2" t="n">
        <f aca="false">IF('Données brutes'!AD24="","",6-'Données brutes'!AD24)</f>
        <v>2</v>
      </c>
      <c r="H24" s="2" t="n">
        <f aca="false">IF('Données brutes'!AE24="","",'Données brutes'!AE24)</f>
        <v>4</v>
      </c>
      <c r="I24" s="2" t="n">
        <f aca="false">IF('Données brutes'!AF24="","",'Données brutes'!AF24)</f>
        <v>2</v>
      </c>
      <c r="J24" s="2" t="n">
        <f aca="false">IF('Données brutes'!AG24="","",6-'Données brutes'!AG24)</f>
        <v>2</v>
      </c>
      <c r="K24" s="2" t="n">
        <f aca="false">IF('Données brutes'!AO24="","",'Données brutes'!AO24)</f>
        <v>4</v>
      </c>
      <c r="L24" s="2" t="n">
        <f aca="false">IF('Données brutes'!AP24="","",6-'Données brutes'!AP24)</f>
        <v>1</v>
      </c>
      <c r="M24" s="2" t="n">
        <f aca="false">IF('Données brutes'!AQ24="","",'Données brutes'!AQ24)</f>
        <v>4</v>
      </c>
      <c r="N24" s="2" t="n">
        <f aca="false">IF('Données brutes'!AR24="","",'Données brutes'!AR24)</f>
        <v>4</v>
      </c>
      <c r="O24" s="2" t="n">
        <f aca="false">IF('Données brutes'!AS24="","",'Données brutes'!AS24)</f>
        <v>3</v>
      </c>
      <c r="P24" s="2" t="n">
        <f aca="false">IF('Données brutes'!AT24="","",'Données brutes'!AT24)</f>
        <v>5</v>
      </c>
      <c r="Q24" s="2" t="n">
        <f aca="false">IF('Données brutes'!AU24="","",'Données brutes'!AU24)</f>
        <v>1</v>
      </c>
      <c r="R24" s="2" t="n">
        <f aca="false">IF('Données brutes'!BC24="","",'Données brutes'!BC24)</f>
        <v>4</v>
      </c>
      <c r="S24" s="2" t="n">
        <f aca="false">IF('Données brutes'!BD24="","",'Données brutes'!BD24)</f>
        <v>3</v>
      </c>
      <c r="T24" s="2" t="n">
        <f aca="false">IF('Données brutes'!BE24="","",'Données brutes'!BE24)</f>
        <v>3</v>
      </c>
      <c r="U24" s="2" t="n">
        <f aca="false">IF('Données brutes'!BF24="","",'Données brutes'!BF24)</f>
        <v>4</v>
      </c>
      <c r="V24" s="2" t="n">
        <f aca="false">IF('Données brutes'!BG24="","",6-'Données brutes'!BG24)</f>
        <v>1</v>
      </c>
      <c r="W24" s="2" t="n">
        <f aca="false">IF('Données brutes'!BH24="","",'Données brutes'!BH24)</f>
        <v>3</v>
      </c>
      <c r="X24" s="2" t="n">
        <f aca="false">IF('Données brutes'!BI24="","",'Données brutes'!BI24)</f>
        <v>4</v>
      </c>
      <c r="Y24" s="2" t="n">
        <f aca="false">IF('Données brutes'!BJ24="","",'Données brutes'!BJ24)</f>
        <v>5</v>
      </c>
      <c r="Z24" s="2" t="n">
        <f aca="false">IF('Données brutes'!BK24="","",6-'Données brutes'!BK24)</f>
        <v>2</v>
      </c>
      <c r="AA24" s="2" t="n">
        <f aca="false">IF('Données brutes'!BL24="","",6-'Données brutes'!BL24)</f>
        <v>3</v>
      </c>
      <c r="AB24" s="2" t="n">
        <f aca="false">IF('Données brutes'!BM24="","",6-'Données brutes'!BM24)</f>
        <v>1</v>
      </c>
      <c r="AC24" s="2" t="n">
        <f aca="false">IF('Données brutes'!BN24="","",6-'Données brutes'!BN24)</f>
        <v>3</v>
      </c>
      <c r="AD24" s="2" t="n">
        <f aca="false">IF('Données brutes'!BO24="","",6-'Données brutes'!BO24)</f>
        <v>4</v>
      </c>
      <c r="AE24" s="2" t="n">
        <f aca="false">IF('Données brutes'!BP24="","",6-'Données brutes'!BP24)</f>
        <v>1</v>
      </c>
      <c r="AF24" s="2" t="n">
        <f aca="false">IF('Données brutes'!BQ24="","",6-'Données brutes'!BQ24)</f>
        <v>5</v>
      </c>
      <c r="AG24" s="2" t="n">
        <f aca="false">IF('Données brutes'!BR24="","",'Données brutes'!BR24)</f>
        <v>3</v>
      </c>
      <c r="AH24" s="2" t="n">
        <f aca="false">IF('Données brutes'!BS24="","",'Données brutes'!BS24)</f>
        <v>2</v>
      </c>
      <c r="AI24" s="2" t="n">
        <f aca="false">IF('Données brutes'!BT24="","",'Données brutes'!BT24)</f>
        <v>5</v>
      </c>
      <c r="AJ24" s="2" t="n">
        <f aca="false">IF('Données brutes'!BU24="","",'Données brutes'!BU24)</f>
        <v>5</v>
      </c>
      <c r="AK24" s="2" t="n">
        <f aca="false">IF('Données brutes'!BV24="","",'Données brutes'!BV24)</f>
        <v>4</v>
      </c>
      <c r="AL24" s="2" t="n">
        <f aca="false">IF('Données brutes'!BW24="","",'Données brutes'!BW24)</f>
        <v>3</v>
      </c>
      <c r="AM24" s="2" t="n">
        <f aca="false">IF('Données brutes'!BX24="","",'Données brutes'!BX24)</f>
        <v>1</v>
      </c>
      <c r="AN24" s="2" t="str">
        <f aca="false">IF('Données brutes'!BY24="","",'Données brutes'!BY24)</f>
        <v/>
      </c>
      <c r="AO24" s="2" t="n">
        <f aca="false">IF('Données brutes'!BZ24="","",'Données brutes'!BZ24)</f>
        <v>1</v>
      </c>
      <c r="AP24" s="2" t="n">
        <f aca="false">IF('Données brutes'!CG24="","",'Données brutes'!CG24)</f>
        <v>5</v>
      </c>
      <c r="AQ24" s="2" t="n">
        <f aca="false">IF('Données brutes'!CH24="","",'Données brutes'!CH24)</f>
        <v>4</v>
      </c>
      <c r="AR24" s="2" t="n">
        <f aca="false">IF('Données brutes'!CI24="","",'Données brutes'!CI24)</f>
        <v>3</v>
      </c>
      <c r="AS24" s="2" t="n">
        <f aca="false">IF('Données brutes'!CJ24="","",'Données brutes'!CJ24)</f>
        <v>3</v>
      </c>
      <c r="AT24" s="4" t="n">
        <f aca="false">IFERROR(AVERAGE(B24:D24),"")</f>
        <v>4.33333333333333</v>
      </c>
      <c r="AU24" s="4" t="n">
        <f aca="false">IFERROR(AVERAGE(E24:J24),"")</f>
        <v>2</v>
      </c>
      <c r="AV24" s="4" t="n">
        <f aca="false">IFERROR(AVERAGE(K24:Q24),"")</f>
        <v>3.14285714285714</v>
      </c>
      <c r="AW24" s="4" t="n">
        <f aca="false">IFERROR(AVERAGE(R24:Y24),"")</f>
        <v>3.375</v>
      </c>
      <c r="AX24" s="4" t="n">
        <f aca="false">IFERROR(AVERAGE(Z24:AF24),"")</f>
        <v>2.71428571428571</v>
      </c>
      <c r="AY24" s="4" t="n">
        <f aca="false">IFERROR(AVERAGE(AG24:AJ24),"")</f>
        <v>3.75</v>
      </c>
      <c r="AZ24" s="4" t="n">
        <f aca="false">IFERROR(AVERAGE(AK24:AO24),"")</f>
        <v>2.25</v>
      </c>
      <c r="BA24" s="4" t="n">
        <f aca="false">IFERROR(AVERAGE(AP24:AS24),"")</f>
        <v>3.75</v>
      </c>
      <c r="BB24" s="4" t="n">
        <f aca="false">IFERROR(AVERAGE(B24:AS24),"")</f>
        <v>3.06976744186047</v>
      </c>
    </row>
    <row r="25" customFormat="false" ht="15" hidden="false" customHeight="false" outlineLevel="0" collapsed="false">
      <c r="A25" s="2" t="n">
        <f aca="false">'Données brutes'!A25</f>
        <v>24</v>
      </c>
      <c r="B25" s="2" t="n">
        <f aca="false">IF('Données brutes'!Y25="","",'Données brutes'!Y25)</f>
        <v>4</v>
      </c>
      <c r="C25" s="2" t="n">
        <f aca="false">IF('Données brutes'!Z25="","",6-'Données brutes'!Z25)</f>
        <v>3</v>
      </c>
      <c r="D25" s="2" t="n">
        <f aca="false">IF('Données brutes'!AA25="","",'Données brutes'!AA25)</f>
        <v>3</v>
      </c>
      <c r="E25" s="2" t="n">
        <f aca="false">IF('Données brutes'!AB25="","",'Données brutes'!AB25)</f>
        <v>5</v>
      </c>
      <c r="F25" s="2" t="n">
        <f aca="false">IF('Données brutes'!AC25="","",6-'Données brutes'!AC25)</f>
        <v>2</v>
      </c>
      <c r="G25" s="2" t="n">
        <f aca="false">IF('Données brutes'!AD25="","",6-'Données brutes'!AD25)</f>
        <v>1</v>
      </c>
      <c r="H25" s="2" t="n">
        <f aca="false">IF('Données brutes'!AE25="","",'Données brutes'!AE25)</f>
        <v>5</v>
      </c>
      <c r="I25" s="2" t="n">
        <f aca="false">IF('Données brutes'!AF25="","",'Données brutes'!AF25)</f>
        <v>2</v>
      </c>
      <c r="J25" s="2" t="n">
        <f aca="false">IF('Données brutes'!AG25="","",6-'Données brutes'!AG25)</f>
        <v>3</v>
      </c>
      <c r="K25" s="2" t="n">
        <f aca="false">IF('Données brutes'!AO25="","",'Données brutes'!AO25)</f>
        <v>4</v>
      </c>
      <c r="L25" s="2" t="n">
        <f aca="false">IF('Données brutes'!AP25="","",6-'Données brutes'!AP25)</f>
        <v>4</v>
      </c>
      <c r="M25" s="2" t="n">
        <f aca="false">IF('Données brutes'!AQ25="","",'Données brutes'!AQ25)</f>
        <v>3</v>
      </c>
      <c r="N25" s="2" t="n">
        <f aca="false">IF('Données brutes'!AR25="","",'Données brutes'!AR25)</f>
        <v>5</v>
      </c>
      <c r="O25" s="2" t="n">
        <f aca="false">IF('Données brutes'!AS25="","",'Données brutes'!AS25)</f>
        <v>3</v>
      </c>
      <c r="P25" s="2" t="n">
        <f aca="false">IF('Données brutes'!AT25="","",'Données brutes'!AT25)</f>
        <v>2</v>
      </c>
      <c r="Q25" s="2" t="n">
        <f aca="false">IF('Données brutes'!AU25="","",'Données brutes'!AU25)</f>
        <v>3</v>
      </c>
      <c r="R25" s="2" t="n">
        <f aca="false">IF('Données brutes'!BC25="","",'Données brutes'!BC25)</f>
        <v>5</v>
      </c>
      <c r="S25" s="2" t="n">
        <f aca="false">IF('Données brutes'!BD25="","",'Données brutes'!BD25)</f>
        <v>1</v>
      </c>
      <c r="T25" s="2" t="n">
        <f aca="false">IF('Données brutes'!BE25="","",'Données brutes'!BE25)</f>
        <v>2</v>
      </c>
      <c r="U25" s="2" t="n">
        <f aca="false">IF('Données brutes'!BF25="","",'Données brutes'!BF25)</f>
        <v>5</v>
      </c>
      <c r="V25" s="2" t="n">
        <f aca="false">IF('Données brutes'!BG25="","",6-'Données brutes'!BG25)</f>
        <v>5</v>
      </c>
      <c r="W25" s="2" t="n">
        <f aca="false">IF('Données brutes'!BH25="","",'Données brutes'!BH25)</f>
        <v>4</v>
      </c>
      <c r="X25" s="2" t="n">
        <f aca="false">IF('Données brutes'!BI25="","",'Données brutes'!BI25)</f>
        <v>4</v>
      </c>
      <c r="Y25" s="2" t="n">
        <f aca="false">IF('Données brutes'!BJ25="","",'Données brutes'!BJ25)</f>
        <v>3</v>
      </c>
      <c r="Z25" s="2" t="n">
        <f aca="false">IF('Données brutes'!BK25="","",6-'Données brutes'!BK25)</f>
        <v>3</v>
      </c>
      <c r="AA25" s="2" t="n">
        <f aca="false">IF('Données brutes'!BL25="","",6-'Données brutes'!BL25)</f>
        <v>2</v>
      </c>
      <c r="AB25" s="2" t="n">
        <f aca="false">IF('Données brutes'!BM25="","",6-'Données brutes'!BM25)</f>
        <v>2</v>
      </c>
      <c r="AC25" s="2" t="n">
        <f aca="false">IF('Données brutes'!BN25="","",6-'Données brutes'!BN25)</f>
        <v>4</v>
      </c>
      <c r="AD25" s="2" t="n">
        <f aca="false">IF('Données brutes'!BO25="","",6-'Données brutes'!BO25)</f>
        <v>3</v>
      </c>
      <c r="AE25" s="2" t="n">
        <f aca="false">IF('Données brutes'!BP25="","",6-'Données brutes'!BP25)</f>
        <v>2</v>
      </c>
      <c r="AF25" s="2" t="n">
        <f aca="false">IF('Données brutes'!BQ25="","",6-'Données brutes'!BQ25)</f>
        <v>2</v>
      </c>
      <c r="AG25" s="2" t="n">
        <f aca="false">IF('Données brutes'!BR25="","",'Données brutes'!BR25)</f>
        <v>1</v>
      </c>
      <c r="AH25" s="2" t="n">
        <f aca="false">IF('Données brutes'!BS25="","",'Données brutes'!BS25)</f>
        <v>2</v>
      </c>
      <c r="AI25" s="2" t="n">
        <f aca="false">IF('Données brutes'!BT25="","",'Données brutes'!BT25)</f>
        <v>3</v>
      </c>
      <c r="AJ25" s="2" t="n">
        <f aca="false">IF('Données brutes'!BU25="","",'Données brutes'!BU25)</f>
        <v>4</v>
      </c>
      <c r="AK25" s="2" t="n">
        <f aca="false">IF('Données brutes'!BV25="","",'Données brutes'!BV25)</f>
        <v>5</v>
      </c>
      <c r="AL25" s="2" t="n">
        <f aca="false">IF('Données brutes'!BW25="","",'Données brutes'!BW25)</f>
        <v>2</v>
      </c>
      <c r="AM25" s="2" t="n">
        <f aca="false">IF('Données brutes'!BX25="","",'Données brutes'!BX25)</f>
        <v>2</v>
      </c>
      <c r="AN25" s="2" t="n">
        <f aca="false">IF('Données brutes'!BY25="","",'Données brutes'!BY25)</f>
        <v>3</v>
      </c>
      <c r="AO25" s="2" t="str">
        <f aca="false">IF('Données brutes'!BZ25="","",'Données brutes'!BZ25)</f>
        <v/>
      </c>
      <c r="AP25" s="2" t="str">
        <f aca="false">IF('Données brutes'!CG25="","",'Données brutes'!CG25)</f>
        <v/>
      </c>
      <c r="AQ25" s="2" t="n">
        <f aca="false">IF('Données brutes'!CH25="","",'Données brutes'!CH25)</f>
        <v>2</v>
      </c>
      <c r="AR25" s="2" t="n">
        <f aca="false">IF('Données brutes'!CI25="","",'Données brutes'!CI25)</f>
        <v>1</v>
      </c>
      <c r="AS25" s="2" t="n">
        <f aca="false">IF('Données brutes'!CJ25="","",'Données brutes'!CJ25)</f>
        <v>4</v>
      </c>
      <c r="AT25" s="4" t="n">
        <f aca="false">IFERROR(AVERAGE(B25:D25),"")</f>
        <v>3.33333333333333</v>
      </c>
      <c r="AU25" s="4" t="n">
        <f aca="false">IFERROR(AVERAGE(E25:J25),"")</f>
        <v>3</v>
      </c>
      <c r="AV25" s="4" t="n">
        <f aca="false">IFERROR(AVERAGE(K25:Q25),"")</f>
        <v>3.42857142857143</v>
      </c>
      <c r="AW25" s="4" t="n">
        <f aca="false">IFERROR(AVERAGE(R25:Y25),"")</f>
        <v>3.625</v>
      </c>
      <c r="AX25" s="4" t="n">
        <f aca="false">IFERROR(AVERAGE(Z25:AF25),"")</f>
        <v>2.57142857142857</v>
      </c>
      <c r="AY25" s="4" t="n">
        <f aca="false">IFERROR(AVERAGE(AG25:AJ25),"")</f>
        <v>2.5</v>
      </c>
      <c r="AZ25" s="4" t="n">
        <f aca="false">IFERROR(AVERAGE(AK25:AO25),"")</f>
        <v>3</v>
      </c>
      <c r="BA25" s="4" t="n">
        <f aca="false">IFERROR(AVERAGE(AP25:AS25),"")</f>
        <v>2.33333333333333</v>
      </c>
      <c r="BB25" s="4" t="n">
        <f aca="false">IFERROR(AVERAGE(B25:AS25),"")</f>
        <v>3.04761904761905</v>
      </c>
    </row>
    <row r="26" customFormat="false" ht="15" hidden="false" customHeight="false" outlineLevel="0" collapsed="false">
      <c r="A26" s="2" t="n">
        <f aca="false">'Données brutes'!A26</f>
        <v>25</v>
      </c>
      <c r="B26" s="2" t="n">
        <f aca="false">IF('Données brutes'!Y26="","",'Données brutes'!Y26)</f>
        <v>2</v>
      </c>
      <c r="C26" s="2" t="n">
        <f aca="false">IF('Données brutes'!Z26="","",6-'Données brutes'!Z26)</f>
        <v>2</v>
      </c>
      <c r="D26" s="2" t="n">
        <f aca="false">IF('Données brutes'!AA26="","",'Données brutes'!AA26)</f>
        <v>3</v>
      </c>
      <c r="E26" s="2" t="n">
        <f aca="false">IF('Données brutes'!AB26="","",'Données brutes'!AB26)</f>
        <v>2</v>
      </c>
      <c r="F26" s="2" t="n">
        <f aca="false">IF('Données brutes'!AC26="","",6-'Données brutes'!AC26)</f>
        <v>2</v>
      </c>
      <c r="G26" s="2" t="n">
        <f aca="false">IF('Données brutes'!AD26="","",6-'Données brutes'!AD26)</f>
        <v>3</v>
      </c>
      <c r="H26" s="2" t="n">
        <f aca="false">IF('Données brutes'!AE26="","",'Données brutes'!AE26)</f>
        <v>3</v>
      </c>
      <c r="I26" s="2" t="n">
        <f aca="false">IF('Données brutes'!AF26="","",'Données brutes'!AF26)</f>
        <v>5</v>
      </c>
      <c r="J26" s="2" t="n">
        <f aca="false">IF('Données brutes'!AG26="","",6-'Données brutes'!AG26)</f>
        <v>2</v>
      </c>
      <c r="K26" s="2" t="n">
        <f aca="false">IF('Données brutes'!AO26="","",'Données brutes'!AO26)</f>
        <v>3</v>
      </c>
      <c r="L26" s="2" t="n">
        <f aca="false">IF('Données brutes'!AP26="","",6-'Données brutes'!AP26)</f>
        <v>3</v>
      </c>
      <c r="M26" s="2" t="n">
        <f aca="false">IF('Données brutes'!AQ26="","",'Données brutes'!AQ26)</f>
        <v>1</v>
      </c>
      <c r="N26" s="2" t="n">
        <f aca="false">IF('Données brutes'!AR26="","",'Données brutes'!AR26)</f>
        <v>1</v>
      </c>
      <c r="O26" s="2" t="n">
        <f aca="false">IF('Données brutes'!AS26="","",'Données brutes'!AS26)</f>
        <v>1</v>
      </c>
      <c r="P26" s="2" t="n">
        <f aca="false">IF('Données brutes'!AT26="","",'Données brutes'!AT26)</f>
        <v>5</v>
      </c>
      <c r="Q26" s="2" t="n">
        <f aca="false">IF('Données brutes'!AU26="","",'Données brutes'!AU26)</f>
        <v>4</v>
      </c>
      <c r="R26" s="2" t="n">
        <f aca="false">IF('Données brutes'!BC26="","",'Données brutes'!BC26)</f>
        <v>2</v>
      </c>
      <c r="S26" s="2" t="n">
        <f aca="false">IF('Données brutes'!BD26="","",'Données brutes'!BD26)</f>
        <v>5</v>
      </c>
      <c r="T26" s="2" t="n">
        <f aca="false">IF('Données brutes'!BE26="","",'Données brutes'!BE26)</f>
        <v>3</v>
      </c>
      <c r="U26" s="2" t="n">
        <f aca="false">IF('Données brutes'!BF26="","",'Données brutes'!BF26)</f>
        <v>5</v>
      </c>
      <c r="V26" s="2" t="n">
        <f aca="false">IF('Données brutes'!BG26="","",6-'Données brutes'!BG26)</f>
        <v>5</v>
      </c>
      <c r="W26" s="2" t="n">
        <f aca="false">IF('Données brutes'!BH26="","",'Données brutes'!BH26)</f>
        <v>2</v>
      </c>
      <c r="X26" s="2" t="n">
        <f aca="false">IF('Données brutes'!BI26="","",'Données brutes'!BI26)</f>
        <v>1</v>
      </c>
      <c r="Y26" s="2" t="n">
        <f aca="false">IF('Données brutes'!BJ26="","",'Données brutes'!BJ26)</f>
        <v>4</v>
      </c>
      <c r="Z26" s="2" t="n">
        <f aca="false">IF('Données brutes'!BK26="","",6-'Données brutes'!BK26)</f>
        <v>5</v>
      </c>
      <c r="AA26" s="2" t="n">
        <f aca="false">IF('Données brutes'!BL26="","",6-'Données brutes'!BL26)</f>
        <v>1</v>
      </c>
      <c r="AB26" s="2" t="n">
        <f aca="false">IF('Données brutes'!BM26="","",6-'Données brutes'!BM26)</f>
        <v>3</v>
      </c>
      <c r="AC26" s="2" t="n">
        <f aca="false">IF('Données brutes'!BN26="","",6-'Données brutes'!BN26)</f>
        <v>1</v>
      </c>
      <c r="AD26" s="2" t="n">
        <f aca="false">IF('Données brutes'!BO26="","",6-'Données brutes'!BO26)</f>
        <v>1</v>
      </c>
      <c r="AE26" s="2" t="n">
        <f aca="false">IF('Données brutes'!BP26="","",6-'Données brutes'!BP26)</f>
        <v>1</v>
      </c>
      <c r="AF26" s="2" t="n">
        <f aca="false">IF('Données brutes'!BQ26="","",6-'Données brutes'!BQ26)</f>
        <v>5</v>
      </c>
      <c r="AG26" s="2" t="n">
        <f aca="false">IF('Données brutes'!BR26="","",'Données brutes'!BR26)</f>
        <v>5</v>
      </c>
      <c r="AH26" s="2" t="n">
        <f aca="false">IF('Données brutes'!BS26="","",'Données brutes'!BS26)</f>
        <v>5</v>
      </c>
      <c r="AI26" s="2" t="n">
        <f aca="false">IF('Données brutes'!BT26="","",'Données brutes'!BT26)</f>
        <v>4</v>
      </c>
      <c r="AJ26" s="2" t="n">
        <f aca="false">IF('Données brutes'!BU26="","",'Données brutes'!BU26)</f>
        <v>2</v>
      </c>
      <c r="AK26" s="2" t="n">
        <f aca="false">IF('Données brutes'!BV26="","",'Données brutes'!BV26)</f>
        <v>2</v>
      </c>
      <c r="AL26" s="2" t="n">
        <f aca="false">IF('Données brutes'!BW26="","",'Données brutes'!BW26)</f>
        <v>2</v>
      </c>
      <c r="AM26" s="2" t="n">
        <f aca="false">IF('Données brutes'!BX26="","",'Données brutes'!BX26)</f>
        <v>3</v>
      </c>
      <c r="AN26" s="2" t="n">
        <f aca="false">IF('Données brutes'!BY26="","",'Données brutes'!BY26)</f>
        <v>5</v>
      </c>
      <c r="AO26" s="2" t="n">
        <f aca="false">IF('Données brutes'!BZ26="","",'Données brutes'!BZ26)</f>
        <v>4</v>
      </c>
      <c r="AP26" s="2" t="n">
        <f aca="false">IF('Données brutes'!CG26="","",'Données brutes'!CG26)</f>
        <v>2</v>
      </c>
      <c r="AQ26" s="2" t="n">
        <f aca="false">IF('Données brutes'!CH26="","",'Données brutes'!CH26)</f>
        <v>2</v>
      </c>
      <c r="AR26" s="2" t="n">
        <f aca="false">IF('Données brutes'!CI26="","",'Données brutes'!CI26)</f>
        <v>2</v>
      </c>
      <c r="AS26" s="2" t="n">
        <f aca="false">IF('Données brutes'!CJ26="","",'Données brutes'!CJ26)</f>
        <v>3</v>
      </c>
      <c r="AT26" s="4" t="n">
        <f aca="false">IFERROR(AVERAGE(B26:D26),"")</f>
        <v>2.33333333333333</v>
      </c>
      <c r="AU26" s="4" t="n">
        <f aca="false">IFERROR(AVERAGE(E26:J26),"")</f>
        <v>2.83333333333333</v>
      </c>
      <c r="AV26" s="4" t="n">
        <f aca="false">IFERROR(AVERAGE(K26:Q26),"")</f>
        <v>2.57142857142857</v>
      </c>
      <c r="AW26" s="4" t="n">
        <f aca="false">IFERROR(AVERAGE(R26:Y26),"")</f>
        <v>3.375</v>
      </c>
      <c r="AX26" s="4" t="n">
        <f aca="false">IFERROR(AVERAGE(Z26:AF26),"")</f>
        <v>2.42857142857143</v>
      </c>
      <c r="AY26" s="4" t="n">
        <f aca="false">IFERROR(AVERAGE(AG26:AJ26),"")</f>
        <v>4</v>
      </c>
      <c r="AZ26" s="4" t="n">
        <f aca="false">IFERROR(AVERAGE(AK26:AO26),"")</f>
        <v>3.2</v>
      </c>
      <c r="BA26" s="4" t="n">
        <f aca="false">IFERROR(AVERAGE(AP26:AS26),"")</f>
        <v>2.25</v>
      </c>
      <c r="BB26" s="4" t="n">
        <f aca="false">IFERROR(AVERAGE(B26:AS26),"")</f>
        <v>2.88636363636364</v>
      </c>
    </row>
    <row r="27" customFormat="false" ht="15" hidden="false" customHeight="false" outlineLevel="0" collapsed="false">
      <c r="A27" s="2" t="n">
        <f aca="false">'Données brutes'!A27</f>
        <v>26</v>
      </c>
      <c r="B27" s="2" t="str">
        <f aca="false">IF('Données brutes'!Y27="","",'Données brutes'!Y27)</f>
        <v/>
      </c>
      <c r="C27" s="2" t="str">
        <f aca="false">IF('Données brutes'!Z27="","",6-'Données brutes'!Z27)</f>
        <v/>
      </c>
      <c r="D27" s="2" t="str">
        <f aca="false">IF('Données brutes'!AA27="","",'Données brutes'!AA27)</f>
        <v/>
      </c>
      <c r="E27" s="2" t="n">
        <f aca="false">IF('Données brutes'!AB27="","",'Données brutes'!AB27)</f>
        <v>2</v>
      </c>
      <c r="F27" s="2" t="n">
        <f aca="false">IF('Données brutes'!AC27="","",6-'Données brutes'!AC27)</f>
        <v>2</v>
      </c>
      <c r="G27" s="2" t="n">
        <f aca="false">IF('Données brutes'!AD27="","",6-'Données brutes'!AD27)</f>
        <v>1</v>
      </c>
      <c r="H27" s="2" t="n">
        <f aca="false">IF('Données brutes'!AE27="","",'Données brutes'!AE27)</f>
        <v>4</v>
      </c>
      <c r="I27" s="2" t="n">
        <f aca="false">IF('Données brutes'!AF27="","",'Données brutes'!AF27)</f>
        <v>5</v>
      </c>
      <c r="J27" s="2" t="n">
        <f aca="false">IF('Données brutes'!AG27="","",6-'Données brutes'!AG27)</f>
        <v>1</v>
      </c>
      <c r="K27" s="2" t="n">
        <f aca="false">IF('Données brutes'!AO27="","",'Données brutes'!AO27)</f>
        <v>3</v>
      </c>
      <c r="L27" s="2" t="n">
        <f aca="false">IF('Données brutes'!AP27="","",6-'Données brutes'!AP27)</f>
        <v>1</v>
      </c>
      <c r="M27" s="2" t="n">
        <f aca="false">IF('Données brutes'!AQ27="","",'Données brutes'!AQ27)</f>
        <v>4</v>
      </c>
      <c r="N27" s="2" t="n">
        <f aca="false">IF('Données brutes'!AR27="","",'Données brutes'!AR27)</f>
        <v>3</v>
      </c>
      <c r="O27" s="2" t="n">
        <f aca="false">IF('Données brutes'!AS27="","",'Données brutes'!AS27)</f>
        <v>1</v>
      </c>
      <c r="P27" s="2" t="n">
        <f aca="false">IF('Données brutes'!AT27="","",'Données brutes'!AT27)</f>
        <v>3</v>
      </c>
      <c r="Q27" s="2" t="str">
        <f aca="false">IF('Données brutes'!AU27="","",'Données brutes'!AU27)</f>
        <v/>
      </c>
      <c r="R27" s="2" t="n">
        <f aca="false">IF('Données brutes'!BC27="","",'Données brutes'!BC27)</f>
        <v>3</v>
      </c>
      <c r="S27" s="2" t="n">
        <f aca="false">IF('Données brutes'!BD27="","",'Données brutes'!BD27)</f>
        <v>1</v>
      </c>
      <c r="T27" s="2" t="n">
        <f aca="false">IF('Données brutes'!BE27="","",'Données brutes'!BE27)</f>
        <v>4</v>
      </c>
      <c r="U27" s="2" t="n">
        <f aca="false">IF('Données brutes'!BF27="","",'Données brutes'!BF27)</f>
        <v>2</v>
      </c>
      <c r="V27" s="2" t="n">
        <f aca="false">IF('Données brutes'!BG27="","",6-'Données brutes'!BG27)</f>
        <v>4</v>
      </c>
      <c r="W27" s="2" t="n">
        <f aca="false">IF('Données brutes'!BH27="","",'Données brutes'!BH27)</f>
        <v>3</v>
      </c>
      <c r="X27" s="2" t="n">
        <f aca="false">IF('Données brutes'!BI27="","",'Données brutes'!BI27)</f>
        <v>3</v>
      </c>
      <c r="Y27" s="2" t="n">
        <f aca="false">IF('Données brutes'!BJ27="","",'Données brutes'!BJ27)</f>
        <v>4</v>
      </c>
      <c r="Z27" s="2" t="n">
        <f aca="false">IF('Données brutes'!BK27="","",6-'Données brutes'!BK27)</f>
        <v>2</v>
      </c>
      <c r="AA27" s="2" t="n">
        <f aca="false">IF('Données brutes'!BL27="","",6-'Données brutes'!BL27)</f>
        <v>3</v>
      </c>
      <c r="AB27" s="2" t="n">
        <f aca="false">IF('Données brutes'!BM27="","",6-'Données brutes'!BM27)</f>
        <v>3</v>
      </c>
      <c r="AC27" s="2" t="n">
        <f aca="false">IF('Données brutes'!BN27="","",6-'Données brutes'!BN27)</f>
        <v>1</v>
      </c>
      <c r="AD27" s="2" t="n">
        <f aca="false">IF('Données brutes'!BO27="","",6-'Données brutes'!BO27)</f>
        <v>5</v>
      </c>
      <c r="AE27" s="2" t="n">
        <f aca="false">IF('Données brutes'!BP27="","",6-'Données brutes'!BP27)</f>
        <v>1</v>
      </c>
      <c r="AF27" s="2" t="n">
        <f aca="false">IF('Données brutes'!BQ27="","",6-'Données brutes'!BQ27)</f>
        <v>1</v>
      </c>
      <c r="AG27" s="2" t="n">
        <f aca="false">IF('Données brutes'!BR27="","",'Données brutes'!BR27)</f>
        <v>5</v>
      </c>
      <c r="AH27" s="2" t="n">
        <f aca="false">IF('Données brutes'!BS27="","",'Données brutes'!BS27)</f>
        <v>2</v>
      </c>
      <c r="AI27" s="2" t="n">
        <f aca="false">IF('Données brutes'!BT27="","",'Données brutes'!BT27)</f>
        <v>5</v>
      </c>
      <c r="AJ27" s="2" t="n">
        <f aca="false">IF('Données brutes'!BU27="","",'Données brutes'!BU27)</f>
        <v>2</v>
      </c>
      <c r="AK27" s="2" t="n">
        <f aca="false">IF('Données brutes'!BV27="","",'Données brutes'!BV27)</f>
        <v>3</v>
      </c>
      <c r="AL27" s="2" t="n">
        <f aca="false">IF('Données brutes'!BW27="","",'Données brutes'!BW27)</f>
        <v>4</v>
      </c>
      <c r="AM27" s="2" t="n">
        <f aca="false">IF('Données brutes'!BX27="","",'Données brutes'!BX27)</f>
        <v>4</v>
      </c>
      <c r="AN27" s="2" t="n">
        <f aca="false">IF('Données brutes'!BY27="","",'Données brutes'!BY27)</f>
        <v>4</v>
      </c>
      <c r="AO27" s="2" t="n">
        <f aca="false">IF('Données brutes'!BZ27="","",'Données brutes'!BZ27)</f>
        <v>5</v>
      </c>
      <c r="AP27" s="2" t="n">
        <f aca="false">IF('Données brutes'!CG27="","",'Données brutes'!CG27)</f>
        <v>2</v>
      </c>
      <c r="AQ27" s="2" t="n">
        <f aca="false">IF('Données brutes'!CH27="","",'Données brutes'!CH27)</f>
        <v>3</v>
      </c>
      <c r="AR27" s="2" t="n">
        <f aca="false">IF('Données brutes'!CI27="","",'Données brutes'!CI27)</f>
        <v>3</v>
      </c>
      <c r="AS27" s="2" t="n">
        <f aca="false">IF('Données brutes'!CJ27="","",'Données brutes'!CJ27)</f>
        <v>1</v>
      </c>
      <c r="AT27" s="4" t="str">
        <f aca="false">IFERROR(AVERAGE(B27:D27),"")</f>
        <v/>
      </c>
      <c r="AU27" s="4" t="n">
        <f aca="false">IFERROR(AVERAGE(E27:J27),"")</f>
        <v>2.5</v>
      </c>
      <c r="AV27" s="4" t="n">
        <f aca="false">IFERROR(AVERAGE(K27:Q27),"")</f>
        <v>2.5</v>
      </c>
      <c r="AW27" s="4" t="n">
        <f aca="false">IFERROR(AVERAGE(R27:Y27),"")</f>
        <v>3</v>
      </c>
      <c r="AX27" s="4" t="n">
        <f aca="false">IFERROR(AVERAGE(Z27:AF27),"")</f>
        <v>2.28571428571429</v>
      </c>
      <c r="AY27" s="4" t="n">
        <f aca="false">IFERROR(AVERAGE(AG27:AJ27),"")</f>
        <v>3.5</v>
      </c>
      <c r="AZ27" s="4" t="n">
        <f aca="false">IFERROR(AVERAGE(AK27:AO27),"")</f>
        <v>4</v>
      </c>
      <c r="BA27" s="4" t="n">
        <f aca="false">IFERROR(AVERAGE(AP27:AS27),"")</f>
        <v>2.25</v>
      </c>
      <c r="BB27" s="4" t="n">
        <f aca="false">IFERROR(AVERAGE(B27:AS27),"")</f>
        <v>2.825</v>
      </c>
    </row>
    <row r="28" customFormat="false" ht="15" hidden="false" customHeight="false" outlineLevel="0" collapsed="false">
      <c r="A28" s="2" t="n">
        <f aca="false">'Données brutes'!A28</f>
        <v>27</v>
      </c>
      <c r="B28" s="2" t="str">
        <f aca="false">IF('Données brutes'!Y28="","",'Données brutes'!Y28)</f>
        <v/>
      </c>
      <c r="C28" s="2" t="str">
        <f aca="false">IF('Données brutes'!Z28="","",6-'Données brutes'!Z28)</f>
        <v/>
      </c>
      <c r="D28" s="2" t="str">
        <f aca="false">IF('Données brutes'!AA28="","",'Données brutes'!AA28)</f>
        <v/>
      </c>
      <c r="E28" s="2" t="str">
        <f aca="false">IF('Données brutes'!AB28="","",'Données brutes'!AB28)</f>
        <v/>
      </c>
      <c r="F28" s="2" t="n">
        <f aca="false">IF('Données brutes'!AC28="","",6-'Données brutes'!AC28)</f>
        <v>1</v>
      </c>
      <c r="G28" s="2" t="n">
        <f aca="false">IF('Données brutes'!AD28="","",6-'Données brutes'!AD28)</f>
        <v>3</v>
      </c>
      <c r="H28" s="2" t="n">
        <f aca="false">IF('Données brutes'!AE28="","",'Données brutes'!AE28)</f>
        <v>2</v>
      </c>
      <c r="I28" s="2" t="n">
        <f aca="false">IF('Données brutes'!AF28="","",'Données brutes'!AF28)</f>
        <v>2</v>
      </c>
      <c r="J28" s="2" t="n">
        <f aca="false">IF('Données brutes'!AG28="","",6-'Données brutes'!AG28)</f>
        <v>3</v>
      </c>
      <c r="K28" s="2" t="n">
        <f aca="false">IF('Données brutes'!AO28="","",'Données brutes'!AO28)</f>
        <v>1</v>
      </c>
      <c r="L28" s="2" t="n">
        <f aca="false">IF('Données brutes'!AP28="","",6-'Données brutes'!AP28)</f>
        <v>4</v>
      </c>
      <c r="M28" s="2" t="str">
        <f aca="false">IF('Données brutes'!AQ28="","",'Données brutes'!AQ28)</f>
        <v/>
      </c>
      <c r="N28" s="2" t="n">
        <f aca="false">IF('Données brutes'!AR28="","",'Données brutes'!AR28)</f>
        <v>3</v>
      </c>
      <c r="O28" s="2" t="n">
        <f aca="false">IF('Données brutes'!AS28="","",'Données brutes'!AS28)</f>
        <v>2</v>
      </c>
      <c r="P28" s="2" t="n">
        <f aca="false">IF('Données brutes'!AT28="","",'Données brutes'!AT28)</f>
        <v>5</v>
      </c>
      <c r="Q28" s="2" t="n">
        <f aca="false">IF('Données brutes'!AU28="","",'Données brutes'!AU28)</f>
        <v>3</v>
      </c>
      <c r="R28" s="2" t="n">
        <f aca="false">IF('Données brutes'!BC28="","",'Données brutes'!BC28)</f>
        <v>3</v>
      </c>
      <c r="S28" s="2" t="n">
        <f aca="false">IF('Données brutes'!BD28="","",'Données brutes'!BD28)</f>
        <v>3</v>
      </c>
      <c r="T28" s="2" t="n">
        <f aca="false">IF('Données brutes'!BE28="","",'Données brutes'!BE28)</f>
        <v>2</v>
      </c>
      <c r="U28" s="2" t="n">
        <f aca="false">IF('Données brutes'!BF28="","",'Données brutes'!BF28)</f>
        <v>4</v>
      </c>
      <c r="V28" s="2" t="n">
        <f aca="false">IF('Données brutes'!BG28="","",6-'Données brutes'!BG28)</f>
        <v>2</v>
      </c>
      <c r="W28" s="2" t="n">
        <f aca="false">IF('Données brutes'!BH28="","",'Données brutes'!BH28)</f>
        <v>4</v>
      </c>
      <c r="X28" s="2" t="n">
        <f aca="false">IF('Données brutes'!BI28="","",'Données brutes'!BI28)</f>
        <v>4</v>
      </c>
      <c r="Y28" s="2" t="n">
        <f aca="false">IF('Données brutes'!BJ28="","",'Données brutes'!BJ28)</f>
        <v>1</v>
      </c>
      <c r="Z28" s="2" t="n">
        <f aca="false">IF('Données brutes'!BK28="","",6-'Données brutes'!BK28)</f>
        <v>5</v>
      </c>
      <c r="AA28" s="2" t="n">
        <f aca="false">IF('Données brutes'!BL28="","",6-'Données brutes'!BL28)</f>
        <v>1</v>
      </c>
      <c r="AB28" s="2" t="n">
        <f aca="false">IF('Données brutes'!BM28="","",6-'Données brutes'!BM28)</f>
        <v>5</v>
      </c>
      <c r="AC28" s="2" t="n">
        <f aca="false">IF('Données brutes'!BN28="","",6-'Données brutes'!BN28)</f>
        <v>4</v>
      </c>
      <c r="AD28" s="2" t="n">
        <f aca="false">IF('Données brutes'!BO28="","",6-'Données brutes'!BO28)</f>
        <v>2</v>
      </c>
      <c r="AE28" s="2" t="n">
        <f aca="false">IF('Données brutes'!BP28="","",6-'Données brutes'!BP28)</f>
        <v>2</v>
      </c>
      <c r="AF28" s="2" t="n">
        <f aca="false">IF('Données brutes'!BQ28="","",6-'Données brutes'!BQ28)</f>
        <v>3</v>
      </c>
      <c r="AG28" s="2" t="n">
        <f aca="false">IF('Données brutes'!BR28="","",'Données brutes'!BR28)</f>
        <v>2</v>
      </c>
      <c r="AH28" s="2" t="n">
        <f aca="false">IF('Données brutes'!BS28="","",'Données brutes'!BS28)</f>
        <v>4</v>
      </c>
      <c r="AI28" s="2" t="n">
        <f aca="false">IF('Données brutes'!BT28="","",'Données brutes'!BT28)</f>
        <v>3</v>
      </c>
      <c r="AJ28" s="2" t="n">
        <f aca="false">IF('Données brutes'!BU28="","",'Données brutes'!BU28)</f>
        <v>4</v>
      </c>
      <c r="AK28" s="2" t="n">
        <f aca="false">IF('Données brutes'!BV28="","",'Données brutes'!BV28)</f>
        <v>4</v>
      </c>
      <c r="AL28" s="2" t="n">
        <f aca="false">IF('Données brutes'!BW28="","",'Données brutes'!BW28)</f>
        <v>2</v>
      </c>
      <c r="AM28" s="2" t="n">
        <f aca="false">IF('Données brutes'!BX28="","",'Données brutes'!BX28)</f>
        <v>3</v>
      </c>
      <c r="AN28" s="2" t="str">
        <f aca="false">IF('Données brutes'!BY28="","",'Données brutes'!BY28)</f>
        <v/>
      </c>
      <c r="AO28" s="2" t="n">
        <f aca="false">IF('Données brutes'!BZ28="","",'Données brutes'!BZ28)</f>
        <v>1</v>
      </c>
      <c r="AP28" s="2" t="n">
        <f aca="false">IF('Données brutes'!CG28="","",'Données brutes'!CG28)</f>
        <v>5</v>
      </c>
      <c r="AQ28" s="2" t="n">
        <f aca="false">IF('Données brutes'!CH28="","",'Données brutes'!CH28)</f>
        <v>3</v>
      </c>
      <c r="AR28" s="2" t="n">
        <f aca="false">IF('Données brutes'!CI28="","",'Données brutes'!CI28)</f>
        <v>3</v>
      </c>
      <c r="AS28" s="2" t="n">
        <f aca="false">IF('Données brutes'!CJ28="","",'Données brutes'!CJ28)</f>
        <v>3</v>
      </c>
      <c r="AT28" s="4" t="str">
        <f aca="false">IFERROR(AVERAGE(B28:D28),"")</f>
        <v/>
      </c>
      <c r="AU28" s="4" t="n">
        <f aca="false">IFERROR(AVERAGE(E28:J28),"")</f>
        <v>2.2</v>
      </c>
      <c r="AV28" s="4" t="n">
        <f aca="false">IFERROR(AVERAGE(K28:Q28),"")</f>
        <v>3</v>
      </c>
      <c r="AW28" s="4" t="n">
        <f aca="false">IFERROR(AVERAGE(R28:Y28),"")</f>
        <v>2.875</v>
      </c>
      <c r="AX28" s="4" t="n">
        <f aca="false">IFERROR(AVERAGE(Z28:AF28),"")</f>
        <v>3.14285714285714</v>
      </c>
      <c r="AY28" s="4" t="n">
        <f aca="false">IFERROR(AVERAGE(AG28:AJ28),"")</f>
        <v>3.25</v>
      </c>
      <c r="AZ28" s="4" t="n">
        <f aca="false">IFERROR(AVERAGE(AK28:AO28),"")</f>
        <v>2.5</v>
      </c>
      <c r="BA28" s="4" t="n">
        <f aca="false">IFERROR(AVERAGE(AP28:AS28),"")</f>
        <v>3.5</v>
      </c>
      <c r="BB28" s="4" t="n">
        <f aca="false">IFERROR(AVERAGE(B28:AS28),"")</f>
        <v>2.92105263157895</v>
      </c>
    </row>
    <row r="29" customFormat="false" ht="15" hidden="false" customHeight="false" outlineLevel="0" collapsed="false">
      <c r="A29" s="2" t="n">
        <f aca="false">'Données brutes'!A29</f>
        <v>28</v>
      </c>
      <c r="B29" s="2" t="n">
        <f aca="false">IF('Données brutes'!Y29="","",'Données brutes'!Y29)</f>
        <v>5</v>
      </c>
      <c r="C29" s="2" t="n">
        <f aca="false">IF('Données brutes'!Z29="","",6-'Données brutes'!Z29)</f>
        <v>1</v>
      </c>
      <c r="D29" s="2" t="str">
        <f aca="false">IF('Données brutes'!AA29="","",'Données brutes'!AA29)</f>
        <v/>
      </c>
      <c r="E29" s="2" t="n">
        <f aca="false">IF('Données brutes'!AB29="","",'Données brutes'!AB29)</f>
        <v>3</v>
      </c>
      <c r="F29" s="2" t="n">
        <f aca="false">IF('Données brutes'!AC29="","",6-'Données brutes'!AC29)</f>
        <v>2</v>
      </c>
      <c r="G29" s="2" t="n">
        <f aca="false">IF('Données brutes'!AD29="","",6-'Données brutes'!AD29)</f>
        <v>4</v>
      </c>
      <c r="H29" s="2" t="n">
        <f aca="false">IF('Données brutes'!AE29="","",'Données brutes'!AE29)</f>
        <v>5</v>
      </c>
      <c r="I29" s="2" t="n">
        <f aca="false">IF('Données brutes'!AF29="","",'Données brutes'!AF29)</f>
        <v>2</v>
      </c>
      <c r="J29" s="2" t="str">
        <f aca="false">IF('Données brutes'!AG29="","",6-'Données brutes'!AG29)</f>
        <v/>
      </c>
      <c r="K29" s="2" t="n">
        <f aca="false">IF('Données brutes'!AO29="","",'Données brutes'!AO29)</f>
        <v>2</v>
      </c>
      <c r="L29" s="2" t="n">
        <f aca="false">IF('Données brutes'!AP29="","",6-'Données brutes'!AP29)</f>
        <v>2</v>
      </c>
      <c r="M29" s="2" t="n">
        <f aca="false">IF('Données brutes'!AQ29="","",'Données brutes'!AQ29)</f>
        <v>4</v>
      </c>
      <c r="N29" s="2" t="n">
        <f aca="false">IF('Données brutes'!AR29="","",'Données brutes'!AR29)</f>
        <v>3</v>
      </c>
      <c r="O29" s="2" t="n">
        <f aca="false">IF('Données brutes'!AS29="","",'Données brutes'!AS29)</f>
        <v>2</v>
      </c>
      <c r="P29" s="2" t="n">
        <f aca="false">IF('Données brutes'!AT29="","",'Données brutes'!AT29)</f>
        <v>2</v>
      </c>
      <c r="Q29" s="2" t="n">
        <f aca="false">IF('Données brutes'!AU29="","",'Données brutes'!AU29)</f>
        <v>1</v>
      </c>
      <c r="R29" s="2" t="n">
        <f aca="false">IF('Données brutes'!BC29="","",'Données brutes'!BC29)</f>
        <v>1</v>
      </c>
      <c r="S29" s="2" t="n">
        <f aca="false">IF('Données brutes'!BD29="","",'Données brutes'!BD29)</f>
        <v>2</v>
      </c>
      <c r="T29" s="2" t="n">
        <f aca="false">IF('Données brutes'!BE29="","",'Données brutes'!BE29)</f>
        <v>3</v>
      </c>
      <c r="U29" s="2" t="n">
        <f aca="false">IF('Données brutes'!BF29="","",'Données brutes'!BF29)</f>
        <v>4</v>
      </c>
      <c r="V29" s="2" t="str">
        <f aca="false">IF('Données brutes'!BG29="","",6-'Données brutes'!BG29)</f>
        <v/>
      </c>
      <c r="W29" s="2" t="n">
        <f aca="false">IF('Données brutes'!BH29="","",'Données brutes'!BH29)</f>
        <v>5</v>
      </c>
      <c r="X29" s="2" t="n">
        <f aca="false">IF('Données brutes'!BI29="","",'Données brutes'!BI29)</f>
        <v>2</v>
      </c>
      <c r="Y29" s="2" t="str">
        <f aca="false">IF('Données brutes'!BJ29="","",'Données brutes'!BJ29)</f>
        <v/>
      </c>
      <c r="Z29" s="2" t="n">
        <f aca="false">IF('Données brutes'!BK29="","",6-'Données brutes'!BK29)</f>
        <v>3</v>
      </c>
      <c r="AA29" s="2" t="n">
        <f aca="false">IF('Données brutes'!BL29="","",6-'Données brutes'!BL29)</f>
        <v>2</v>
      </c>
      <c r="AB29" s="2" t="n">
        <f aca="false">IF('Données brutes'!BM29="","",6-'Données brutes'!BM29)</f>
        <v>3</v>
      </c>
      <c r="AC29" s="2" t="n">
        <f aca="false">IF('Données brutes'!BN29="","",6-'Données brutes'!BN29)</f>
        <v>2</v>
      </c>
      <c r="AD29" s="2" t="n">
        <f aca="false">IF('Données brutes'!BO29="","",6-'Données brutes'!BO29)</f>
        <v>2</v>
      </c>
      <c r="AE29" s="2" t="n">
        <f aca="false">IF('Données brutes'!BP29="","",6-'Données brutes'!BP29)</f>
        <v>3</v>
      </c>
      <c r="AF29" s="2" t="n">
        <f aca="false">IF('Données brutes'!BQ29="","",6-'Données brutes'!BQ29)</f>
        <v>1</v>
      </c>
      <c r="AG29" s="2" t="n">
        <f aca="false">IF('Données brutes'!BR29="","",'Données brutes'!BR29)</f>
        <v>4</v>
      </c>
      <c r="AH29" s="2" t="n">
        <f aca="false">IF('Données brutes'!BS29="","",'Données brutes'!BS29)</f>
        <v>4</v>
      </c>
      <c r="AI29" s="2" t="n">
        <f aca="false">IF('Données brutes'!BT29="","",'Données brutes'!BT29)</f>
        <v>4</v>
      </c>
      <c r="AJ29" s="2" t="n">
        <f aca="false">IF('Données brutes'!BU29="","",'Données brutes'!BU29)</f>
        <v>4</v>
      </c>
      <c r="AK29" s="2" t="n">
        <f aca="false">IF('Données brutes'!BV29="","",'Données brutes'!BV29)</f>
        <v>5</v>
      </c>
      <c r="AL29" s="2" t="n">
        <f aca="false">IF('Données brutes'!BW29="","",'Données brutes'!BW29)</f>
        <v>5</v>
      </c>
      <c r="AM29" s="2" t="n">
        <f aca="false">IF('Données brutes'!BX29="","",'Données brutes'!BX29)</f>
        <v>4</v>
      </c>
      <c r="AN29" s="2" t="n">
        <f aca="false">IF('Données brutes'!BY29="","",'Données brutes'!BY29)</f>
        <v>3</v>
      </c>
      <c r="AO29" s="2" t="n">
        <f aca="false">IF('Données brutes'!BZ29="","",'Données brutes'!BZ29)</f>
        <v>5</v>
      </c>
      <c r="AP29" s="2" t="n">
        <f aca="false">IF('Données brutes'!CG29="","",'Données brutes'!CG29)</f>
        <v>3</v>
      </c>
      <c r="AQ29" s="2" t="n">
        <f aca="false">IF('Données brutes'!CH29="","",'Données brutes'!CH29)</f>
        <v>5</v>
      </c>
      <c r="AR29" s="2" t="n">
        <f aca="false">IF('Données brutes'!CI29="","",'Données brutes'!CI29)</f>
        <v>2</v>
      </c>
      <c r="AS29" s="2" t="n">
        <f aca="false">IF('Données brutes'!CJ29="","",'Données brutes'!CJ29)</f>
        <v>1</v>
      </c>
      <c r="AT29" s="4" t="n">
        <f aca="false">IFERROR(AVERAGE(B29:D29),"")</f>
        <v>3</v>
      </c>
      <c r="AU29" s="4" t="n">
        <f aca="false">IFERROR(AVERAGE(E29:J29),"")</f>
        <v>3.2</v>
      </c>
      <c r="AV29" s="4" t="n">
        <f aca="false">IFERROR(AVERAGE(K29:Q29),"")</f>
        <v>2.28571428571429</v>
      </c>
      <c r="AW29" s="4" t="n">
        <f aca="false">IFERROR(AVERAGE(R29:Y29),"")</f>
        <v>2.83333333333333</v>
      </c>
      <c r="AX29" s="4" t="n">
        <f aca="false">IFERROR(AVERAGE(Z29:AF29),"")</f>
        <v>2.28571428571429</v>
      </c>
      <c r="AY29" s="4" t="n">
        <f aca="false">IFERROR(AVERAGE(AG29:AJ29),"")</f>
        <v>4</v>
      </c>
      <c r="AZ29" s="4" t="n">
        <f aca="false">IFERROR(AVERAGE(AK29:AO29),"")</f>
        <v>4.4</v>
      </c>
      <c r="BA29" s="4" t="n">
        <f aca="false">IFERROR(AVERAGE(AP29:AS29),"")</f>
        <v>2.75</v>
      </c>
      <c r="BB29" s="4" t="n">
        <f aca="false">IFERROR(AVERAGE(B29:AS29),"")</f>
        <v>3</v>
      </c>
    </row>
    <row r="30" customFormat="false" ht="15" hidden="false" customHeight="false" outlineLevel="0" collapsed="false">
      <c r="A30" s="2" t="n">
        <f aca="false">'Données brutes'!A30</f>
        <v>29</v>
      </c>
      <c r="B30" s="2" t="str">
        <f aca="false">IF('Données brutes'!Y30="","",'Données brutes'!Y30)</f>
        <v/>
      </c>
      <c r="C30" s="2" t="str">
        <f aca="false">IF('Données brutes'!Z30="","",6-'Données brutes'!Z30)</f>
        <v/>
      </c>
      <c r="D30" s="2" t="str">
        <f aca="false">IF('Données brutes'!AA30="","",'Données brutes'!AA30)</f>
        <v/>
      </c>
      <c r="E30" s="2" t="n">
        <f aca="false">IF('Données brutes'!AB30="","",'Données brutes'!AB30)</f>
        <v>4</v>
      </c>
      <c r="F30" s="2" t="n">
        <f aca="false">IF('Données brutes'!AC30="","",6-'Données brutes'!AC30)</f>
        <v>3</v>
      </c>
      <c r="G30" s="2" t="n">
        <f aca="false">IF('Données brutes'!AD30="","",6-'Données brutes'!AD30)</f>
        <v>3</v>
      </c>
      <c r="H30" s="2" t="n">
        <f aca="false">IF('Données brutes'!AE30="","",'Données brutes'!AE30)</f>
        <v>3</v>
      </c>
      <c r="I30" s="2" t="n">
        <f aca="false">IF('Données brutes'!AF30="","",'Données brutes'!AF30)</f>
        <v>3</v>
      </c>
      <c r="J30" s="2" t="n">
        <f aca="false">IF('Données brutes'!AG30="","",6-'Données brutes'!AG30)</f>
        <v>1</v>
      </c>
      <c r="K30" s="2" t="str">
        <f aca="false">IF('Données brutes'!AO30="","",'Données brutes'!AO30)</f>
        <v/>
      </c>
      <c r="L30" s="2" t="n">
        <f aca="false">IF('Données brutes'!AP30="","",6-'Données brutes'!AP30)</f>
        <v>3</v>
      </c>
      <c r="M30" s="2" t="n">
        <f aca="false">IF('Données brutes'!AQ30="","",'Données brutes'!AQ30)</f>
        <v>4</v>
      </c>
      <c r="N30" s="2" t="n">
        <f aca="false">IF('Données brutes'!AR30="","",'Données brutes'!AR30)</f>
        <v>4</v>
      </c>
      <c r="O30" s="2" t="n">
        <f aca="false">IF('Données brutes'!AS30="","",'Données brutes'!AS30)</f>
        <v>5</v>
      </c>
      <c r="P30" s="2" t="n">
        <f aca="false">IF('Données brutes'!AT30="","",'Données brutes'!AT30)</f>
        <v>4</v>
      </c>
      <c r="Q30" s="2" t="n">
        <f aca="false">IF('Données brutes'!AU30="","",'Données brutes'!AU30)</f>
        <v>1</v>
      </c>
      <c r="R30" s="2" t="n">
        <f aca="false">IF('Données brutes'!BC30="","",'Données brutes'!BC30)</f>
        <v>1</v>
      </c>
      <c r="S30" s="2" t="n">
        <f aca="false">IF('Données brutes'!BD30="","",'Données brutes'!BD30)</f>
        <v>2</v>
      </c>
      <c r="T30" s="2" t="n">
        <f aca="false">IF('Données brutes'!BE30="","",'Données brutes'!BE30)</f>
        <v>5</v>
      </c>
      <c r="U30" s="2" t="n">
        <f aca="false">IF('Données brutes'!BF30="","",'Données brutes'!BF30)</f>
        <v>4</v>
      </c>
      <c r="V30" s="2" t="str">
        <f aca="false">IF('Données brutes'!BG30="","",6-'Données brutes'!BG30)</f>
        <v/>
      </c>
      <c r="W30" s="2" t="n">
        <f aca="false">IF('Données brutes'!BH30="","",'Données brutes'!BH30)</f>
        <v>4</v>
      </c>
      <c r="X30" s="2" t="n">
        <f aca="false">IF('Données brutes'!BI30="","",'Données brutes'!BI30)</f>
        <v>3</v>
      </c>
      <c r="Y30" s="2" t="n">
        <f aca="false">IF('Données brutes'!BJ30="","",'Données brutes'!BJ30)</f>
        <v>2</v>
      </c>
      <c r="Z30" s="2" t="n">
        <f aca="false">IF('Données brutes'!BK30="","",6-'Données brutes'!BK30)</f>
        <v>4</v>
      </c>
      <c r="AA30" s="2" t="n">
        <f aca="false">IF('Données brutes'!BL30="","",6-'Données brutes'!BL30)</f>
        <v>2</v>
      </c>
      <c r="AB30" s="2" t="n">
        <f aca="false">IF('Données brutes'!BM30="","",6-'Données brutes'!BM30)</f>
        <v>5</v>
      </c>
      <c r="AC30" s="2" t="n">
        <f aca="false">IF('Données brutes'!BN30="","",6-'Données brutes'!BN30)</f>
        <v>3</v>
      </c>
      <c r="AD30" s="2" t="n">
        <f aca="false">IF('Données brutes'!BO30="","",6-'Données brutes'!BO30)</f>
        <v>2</v>
      </c>
      <c r="AE30" s="2" t="n">
        <f aca="false">IF('Données brutes'!BP30="","",6-'Données brutes'!BP30)</f>
        <v>4</v>
      </c>
      <c r="AF30" s="2" t="n">
        <f aca="false">IF('Données brutes'!BQ30="","",6-'Données brutes'!BQ30)</f>
        <v>1</v>
      </c>
      <c r="AG30" s="2" t="n">
        <f aca="false">IF('Données brutes'!BR30="","",'Données brutes'!BR30)</f>
        <v>5</v>
      </c>
      <c r="AH30" s="2" t="n">
        <f aca="false">IF('Données brutes'!BS30="","",'Données brutes'!BS30)</f>
        <v>4</v>
      </c>
      <c r="AI30" s="2" t="n">
        <f aca="false">IF('Données brutes'!BT30="","",'Données brutes'!BT30)</f>
        <v>4</v>
      </c>
      <c r="AJ30" s="2" t="n">
        <f aca="false">IF('Données brutes'!BU30="","",'Données brutes'!BU30)</f>
        <v>1</v>
      </c>
      <c r="AK30" s="2" t="n">
        <f aca="false">IF('Données brutes'!BV30="","",'Données brutes'!BV30)</f>
        <v>4</v>
      </c>
      <c r="AL30" s="2" t="n">
        <f aca="false">IF('Données brutes'!BW30="","",'Données brutes'!BW30)</f>
        <v>5</v>
      </c>
      <c r="AM30" s="2" t="n">
        <f aca="false">IF('Données brutes'!BX30="","",'Données brutes'!BX30)</f>
        <v>4</v>
      </c>
      <c r="AN30" s="2" t="n">
        <f aca="false">IF('Données brutes'!BY30="","",'Données brutes'!BY30)</f>
        <v>4</v>
      </c>
      <c r="AO30" s="2" t="n">
        <f aca="false">IF('Données brutes'!BZ30="","",'Données brutes'!BZ30)</f>
        <v>4</v>
      </c>
      <c r="AP30" s="2" t="n">
        <f aca="false">IF('Données brutes'!CG30="","",'Données brutes'!CG30)</f>
        <v>3</v>
      </c>
      <c r="AQ30" s="2" t="n">
        <f aca="false">IF('Données brutes'!CH30="","",'Données brutes'!CH30)</f>
        <v>3</v>
      </c>
      <c r="AR30" s="2" t="n">
        <f aca="false">IF('Données brutes'!CI30="","",'Données brutes'!CI30)</f>
        <v>1</v>
      </c>
      <c r="AS30" s="2" t="n">
        <f aca="false">IF('Données brutes'!CJ30="","",'Données brutes'!CJ30)</f>
        <v>4</v>
      </c>
      <c r="AT30" s="4" t="str">
        <f aca="false">IFERROR(AVERAGE(B30:D30),"")</f>
        <v/>
      </c>
      <c r="AU30" s="4" t="n">
        <f aca="false">IFERROR(AVERAGE(E30:J30),"")</f>
        <v>2.83333333333333</v>
      </c>
      <c r="AV30" s="4" t="n">
        <f aca="false">IFERROR(AVERAGE(K30:Q30),"")</f>
        <v>3.5</v>
      </c>
      <c r="AW30" s="4" t="n">
        <f aca="false">IFERROR(AVERAGE(R30:Y30),"")</f>
        <v>3</v>
      </c>
      <c r="AX30" s="4" t="n">
        <f aca="false">IFERROR(AVERAGE(Z30:AF30),"")</f>
        <v>3</v>
      </c>
      <c r="AY30" s="4" t="n">
        <f aca="false">IFERROR(AVERAGE(AG30:AJ30),"")</f>
        <v>3.5</v>
      </c>
      <c r="AZ30" s="4" t="n">
        <f aca="false">IFERROR(AVERAGE(AK30:AO30),"")</f>
        <v>4.2</v>
      </c>
      <c r="BA30" s="4" t="n">
        <f aca="false">IFERROR(AVERAGE(AP30:AS30),"")</f>
        <v>2.75</v>
      </c>
      <c r="BB30" s="4" t="n">
        <f aca="false">IFERROR(AVERAGE(B30:AS30),"")</f>
        <v>3.23076923076923</v>
      </c>
    </row>
    <row r="31" customFormat="false" ht="15" hidden="false" customHeight="false" outlineLevel="0" collapsed="false">
      <c r="A31" s="2" t="n">
        <f aca="false">'Données brutes'!A31</f>
        <v>30</v>
      </c>
      <c r="B31" s="2" t="str">
        <f aca="false">IF('Données brutes'!Y31="","",'Données brutes'!Y31)</f>
        <v/>
      </c>
      <c r="C31" s="2" t="n">
        <f aca="false">IF('Données brutes'!Z31="","",6-'Données brutes'!Z31)</f>
        <v>1</v>
      </c>
      <c r="D31" s="2" t="n">
        <f aca="false">IF('Données brutes'!AA31="","",'Données brutes'!AA31)</f>
        <v>3</v>
      </c>
      <c r="E31" s="2" t="n">
        <f aca="false">IF('Données brutes'!AB31="","",'Données brutes'!AB31)</f>
        <v>3</v>
      </c>
      <c r="F31" s="2" t="n">
        <f aca="false">IF('Données brutes'!AC31="","",6-'Données brutes'!AC31)</f>
        <v>3</v>
      </c>
      <c r="G31" s="2" t="n">
        <f aca="false">IF('Données brutes'!AD31="","",6-'Données brutes'!AD31)</f>
        <v>3</v>
      </c>
      <c r="H31" s="2" t="n">
        <f aca="false">IF('Données brutes'!AE31="","",'Données brutes'!AE31)</f>
        <v>5</v>
      </c>
      <c r="I31" s="2" t="n">
        <f aca="false">IF('Données brutes'!AF31="","",'Données brutes'!AF31)</f>
        <v>4</v>
      </c>
      <c r="J31" s="2" t="str">
        <f aca="false">IF('Données brutes'!AG31="","",6-'Données brutes'!AG31)</f>
        <v/>
      </c>
      <c r="K31" s="2" t="n">
        <f aca="false">IF('Données brutes'!AO31="","",'Données brutes'!AO31)</f>
        <v>4</v>
      </c>
      <c r="L31" s="2" t="n">
        <f aca="false">IF('Données brutes'!AP31="","",6-'Données brutes'!AP31)</f>
        <v>1</v>
      </c>
      <c r="M31" s="2" t="n">
        <f aca="false">IF('Données brutes'!AQ31="","",'Données brutes'!AQ31)</f>
        <v>4</v>
      </c>
      <c r="N31" s="2" t="str">
        <f aca="false">IF('Données brutes'!AR31="","",'Données brutes'!AR31)</f>
        <v/>
      </c>
      <c r="O31" s="2" t="n">
        <f aca="false">IF('Données brutes'!AS31="","",'Données brutes'!AS31)</f>
        <v>3</v>
      </c>
      <c r="P31" s="2" t="n">
        <f aca="false">IF('Données brutes'!AT31="","",'Données brutes'!AT31)</f>
        <v>1</v>
      </c>
      <c r="Q31" s="2" t="n">
        <f aca="false">IF('Données brutes'!AU31="","",'Données brutes'!AU31)</f>
        <v>3</v>
      </c>
      <c r="R31" s="2" t="n">
        <f aca="false">IF('Données brutes'!BC31="","",'Données brutes'!BC31)</f>
        <v>1</v>
      </c>
      <c r="S31" s="2" t="n">
        <f aca="false">IF('Données brutes'!BD31="","",'Données brutes'!BD31)</f>
        <v>3</v>
      </c>
      <c r="T31" s="2" t="n">
        <f aca="false">IF('Données brutes'!BE31="","",'Données brutes'!BE31)</f>
        <v>1</v>
      </c>
      <c r="U31" s="2" t="n">
        <f aca="false">IF('Données brutes'!BF31="","",'Données brutes'!BF31)</f>
        <v>2</v>
      </c>
      <c r="V31" s="2" t="n">
        <f aca="false">IF('Données brutes'!BG31="","",6-'Données brutes'!BG31)</f>
        <v>2</v>
      </c>
      <c r="W31" s="2" t="n">
        <f aca="false">IF('Données brutes'!BH31="","",'Données brutes'!BH31)</f>
        <v>3</v>
      </c>
      <c r="X31" s="2" t="n">
        <f aca="false">IF('Données brutes'!BI31="","",'Données brutes'!BI31)</f>
        <v>5</v>
      </c>
      <c r="Y31" s="2" t="n">
        <f aca="false">IF('Données brutes'!BJ31="","",'Données brutes'!BJ31)</f>
        <v>3</v>
      </c>
      <c r="Z31" s="2" t="n">
        <f aca="false">IF('Données brutes'!BK31="","",6-'Données brutes'!BK31)</f>
        <v>1</v>
      </c>
      <c r="AA31" s="2" t="n">
        <f aca="false">IF('Données brutes'!BL31="","",6-'Données brutes'!BL31)</f>
        <v>2</v>
      </c>
      <c r="AB31" s="2" t="n">
        <f aca="false">IF('Données brutes'!BM31="","",6-'Données brutes'!BM31)</f>
        <v>3</v>
      </c>
      <c r="AC31" s="2" t="n">
        <f aca="false">IF('Données brutes'!BN31="","",6-'Données brutes'!BN31)</f>
        <v>3</v>
      </c>
      <c r="AD31" s="2" t="n">
        <f aca="false">IF('Données brutes'!BO31="","",6-'Données brutes'!BO31)</f>
        <v>1</v>
      </c>
      <c r="AE31" s="2" t="n">
        <f aca="false">IF('Données brutes'!BP31="","",6-'Données brutes'!BP31)</f>
        <v>2</v>
      </c>
      <c r="AF31" s="2" t="n">
        <f aca="false">IF('Données brutes'!BQ31="","",6-'Données brutes'!BQ31)</f>
        <v>1</v>
      </c>
      <c r="AG31" s="2" t="n">
        <f aca="false">IF('Données brutes'!BR31="","",'Données brutes'!BR31)</f>
        <v>1</v>
      </c>
      <c r="AH31" s="2" t="str">
        <f aca="false">IF('Données brutes'!BS31="","",'Données brutes'!BS31)</f>
        <v/>
      </c>
      <c r="AI31" s="2" t="n">
        <f aca="false">IF('Données brutes'!BT31="","",'Données brutes'!BT31)</f>
        <v>3</v>
      </c>
      <c r="AJ31" s="2" t="n">
        <f aca="false">IF('Données brutes'!BU31="","",'Données brutes'!BU31)</f>
        <v>3</v>
      </c>
      <c r="AK31" s="2" t="n">
        <f aca="false">IF('Données brutes'!BV31="","",'Données brutes'!BV31)</f>
        <v>4</v>
      </c>
      <c r="AL31" s="2" t="n">
        <f aca="false">IF('Données brutes'!BW31="","",'Données brutes'!BW31)</f>
        <v>2</v>
      </c>
      <c r="AM31" s="2" t="n">
        <f aca="false">IF('Données brutes'!BX31="","",'Données brutes'!BX31)</f>
        <v>5</v>
      </c>
      <c r="AN31" s="2" t="n">
        <f aca="false">IF('Données brutes'!BY31="","",'Données brutes'!BY31)</f>
        <v>3</v>
      </c>
      <c r="AO31" s="2" t="n">
        <f aca="false">IF('Données brutes'!BZ31="","",'Données brutes'!BZ31)</f>
        <v>2</v>
      </c>
      <c r="AP31" s="2" t="n">
        <f aca="false">IF('Données brutes'!CG31="","",'Données brutes'!CG31)</f>
        <v>4</v>
      </c>
      <c r="AQ31" s="2" t="n">
        <f aca="false">IF('Données brutes'!CH31="","",'Données brutes'!CH31)</f>
        <v>4</v>
      </c>
      <c r="AR31" s="2" t="n">
        <f aca="false">IF('Données brutes'!CI31="","",'Données brutes'!CI31)</f>
        <v>1</v>
      </c>
      <c r="AS31" s="2" t="n">
        <f aca="false">IF('Données brutes'!CJ31="","",'Données brutes'!CJ31)</f>
        <v>5</v>
      </c>
      <c r="AT31" s="4" t="n">
        <f aca="false">IFERROR(AVERAGE(B31:D31),"")</f>
        <v>2</v>
      </c>
      <c r="AU31" s="4" t="n">
        <f aca="false">IFERROR(AVERAGE(E31:J31),"")</f>
        <v>3.6</v>
      </c>
      <c r="AV31" s="4" t="n">
        <f aca="false">IFERROR(AVERAGE(K31:Q31),"")</f>
        <v>2.66666666666667</v>
      </c>
      <c r="AW31" s="4" t="n">
        <f aca="false">IFERROR(AVERAGE(R31:Y31),"")</f>
        <v>2.5</v>
      </c>
      <c r="AX31" s="4" t="n">
        <f aca="false">IFERROR(AVERAGE(Z31:AF31),"")</f>
        <v>1.85714285714286</v>
      </c>
      <c r="AY31" s="4" t="n">
        <f aca="false">IFERROR(AVERAGE(AG31:AJ31),"")</f>
        <v>2.33333333333333</v>
      </c>
      <c r="AZ31" s="4" t="n">
        <f aca="false">IFERROR(AVERAGE(AK31:AO31),"")</f>
        <v>3.2</v>
      </c>
      <c r="BA31" s="4" t="n">
        <f aca="false">IFERROR(AVERAGE(AP31:AS31),"")</f>
        <v>3.5</v>
      </c>
      <c r="BB31" s="4" t="n">
        <f aca="false">IFERROR(AVERAGE(B31:AS31),"")</f>
        <v>2.7</v>
      </c>
    </row>
    <row r="32" customFormat="false" ht="15" hidden="false" customHeight="false" outlineLevel="0" collapsed="false">
      <c r="A32" s="2" t="n">
        <f aca="false">'Données brutes'!A32</f>
        <v>31</v>
      </c>
      <c r="B32" s="2" t="str">
        <f aca="false">IF('Données brutes'!Y32="","",'Données brutes'!Y32)</f>
        <v/>
      </c>
      <c r="C32" s="2" t="str">
        <f aca="false">IF('Données brutes'!Z32="","",6-'Données brutes'!Z32)</f>
        <v/>
      </c>
      <c r="D32" s="2" t="str">
        <f aca="false">IF('Données brutes'!AA32="","",'Données brutes'!AA32)</f>
        <v/>
      </c>
      <c r="E32" s="2" t="n">
        <f aca="false">IF('Données brutes'!AB32="","",'Données brutes'!AB32)</f>
        <v>3</v>
      </c>
      <c r="F32" s="2" t="n">
        <f aca="false">IF('Données brutes'!AC32="","",6-'Données brutes'!AC32)</f>
        <v>3</v>
      </c>
      <c r="G32" s="2" t="n">
        <f aca="false">IF('Données brutes'!AD32="","",6-'Données brutes'!AD32)</f>
        <v>4</v>
      </c>
      <c r="H32" s="2" t="n">
        <f aca="false">IF('Données brutes'!AE32="","",'Données brutes'!AE32)</f>
        <v>4</v>
      </c>
      <c r="I32" s="2" t="n">
        <f aca="false">IF('Données brutes'!AF32="","",'Données brutes'!AF32)</f>
        <v>4</v>
      </c>
      <c r="J32" s="2" t="n">
        <f aca="false">IF('Données brutes'!AG32="","",6-'Données brutes'!AG32)</f>
        <v>2</v>
      </c>
      <c r="K32" s="2" t="n">
        <f aca="false">IF('Données brutes'!AO32="","",'Données brutes'!AO32)</f>
        <v>3</v>
      </c>
      <c r="L32" s="2" t="n">
        <f aca="false">IF('Données brutes'!AP32="","",6-'Données brutes'!AP32)</f>
        <v>3</v>
      </c>
      <c r="M32" s="2" t="n">
        <f aca="false">IF('Données brutes'!AQ32="","",'Données brutes'!AQ32)</f>
        <v>2</v>
      </c>
      <c r="N32" s="2" t="n">
        <f aca="false">IF('Données brutes'!AR32="","",'Données brutes'!AR32)</f>
        <v>2</v>
      </c>
      <c r="O32" s="2" t="n">
        <f aca="false">IF('Données brutes'!AS32="","",'Données brutes'!AS32)</f>
        <v>1</v>
      </c>
      <c r="P32" s="2" t="n">
        <f aca="false">IF('Données brutes'!AT32="","",'Données brutes'!AT32)</f>
        <v>3</v>
      </c>
      <c r="Q32" s="2" t="n">
        <f aca="false">IF('Données brutes'!AU32="","",'Données brutes'!AU32)</f>
        <v>4</v>
      </c>
      <c r="R32" s="2" t="n">
        <f aca="false">IF('Données brutes'!BC32="","",'Données brutes'!BC32)</f>
        <v>4</v>
      </c>
      <c r="S32" s="2" t="n">
        <f aca="false">IF('Données brutes'!BD32="","",'Données brutes'!BD32)</f>
        <v>4</v>
      </c>
      <c r="T32" s="2" t="str">
        <f aca="false">IF('Données brutes'!BE32="","",'Données brutes'!BE32)</f>
        <v/>
      </c>
      <c r="U32" s="2" t="n">
        <f aca="false">IF('Données brutes'!BF32="","",'Données brutes'!BF32)</f>
        <v>2</v>
      </c>
      <c r="V32" s="2" t="n">
        <f aca="false">IF('Données brutes'!BG32="","",6-'Données brutes'!BG32)</f>
        <v>1</v>
      </c>
      <c r="W32" s="2" t="n">
        <f aca="false">IF('Données brutes'!BH32="","",'Données brutes'!BH32)</f>
        <v>4</v>
      </c>
      <c r="X32" s="2" t="n">
        <f aca="false">IF('Données brutes'!BI32="","",'Données brutes'!BI32)</f>
        <v>4</v>
      </c>
      <c r="Y32" s="2" t="str">
        <f aca="false">IF('Données brutes'!BJ32="","",'Données brutes'!BJ32)</f>
        <v/>
      </c>
      <c r="Z32" s="2" t="n">
        <f aca="false">IF('Données brutes'!BK32="","",6-'Données brutes'!BK32)</f>
        <v>2</v>
      </c>
      <c r="AA32" s="2" t="n">
        <f aca="false">IF('Données brutes'!BL32="","",6-'Données brutes'!BL32)</f>
        <v>2</v>
      </c>
      <c r="AB32" s="2" t="str">
        <f aca="false">IF('Données brutes'!BM32="","",6-'Données brutes'!BM32)</f>
        <v/>
      </c>
      <c r="AC32" s="2" t="n">
        <f aca="false">IF('Données brutes'!BN32="","",6-'Données brutes'!BN32)</f>
        <v>4</v>
      </c>
      <c r="AD32" s="2" t="n">
        <f aca="false">IF('Données brutes'!BO32="","",6-'Données brutes'!BO32)</f>
        <v>3</v>
      </c>
      <c r="AE32" s="2" t="n">
        <f aca="false">IF('Données brutes'!BP32="","",6-'Données brutes'!BP32)</f>
        <v>1</v>
      </c>
      <c r="AF32" s="2" t="n">
        <f aca="false">IF('Données brutes'!BQ32="","",6-'Données brutes'!BQ32)</f>
        <v>2</v>
      </c>
      <c r="AG32" s="2" t="n">
        <f aca="false">IF('Données brutes'!BR32="","",'Données brutes'!BR32)</f>
        <v>4</v>
      </c>
      <c r="AH32" s="2" t="n">
        <f aca="false">IF('Données brutes'!BS32="","",'Données brutes'!BS32)</f>
        <v>3</v>
      </c>
      <c r="AI32" s="2" t="n">
        <f aca="false">IF('Données brutes'!BT32="","",'Données brutes'!BT32)</f>
        <v>1</v>
      </c>
      <c r="AJ32" s="2" t="n">
        <f aca="false">IF('Données brutes'!BU32="","",'Données brutes'!BU32)</f>
        <v>3</v>
      </c>
      <c r="AK32" s="2" t="n">
        <f aca="false">IF('Données brutes'!BV32="","",'Données brutes'!BV32)</f>
        <v>3</v>
      </c>
      <c r="AL32" s="2" t="n">
        <f aca="false">IF('Données brutes'!BW32="","",'Données brutes'!BW32)</f>
        <v>2</v>
      </c>
      <c r="AM32" s="2" t="n">
        <f aca="false">IF('Données brutes'!BX32="","",'Données brutes'!BX32)</f>
        <v>3</v>
      </c>
      <c r="AN32" s="2" t="n">
        <f aca="false">IF('Données brutes'!BY32="","",'Données brutes'!BY32)</f>
        <v>3</v>
      </c>
      <c r="AO32" s="2" t="n">
        <f aca="false">IF('Données brutes'!BZ32="","",'Données brutes'!BZ32)</f>
        <v>5</v>
      </c>
      <c r="AP32" s="2" t="n">
        <f aca="false">IF('Données brutes'!CG32="","",'Données brutes'!CG32)</f>
        <v>3</v>
      </c>
      <c r="AQ32" s="2" t="n">
        <f aca="false">IF('Données brutes'!CH32="","",'Données brutes'!CH32)</f>
        <v>1</v>
      </c>
      <c r="AR32" s="2" t="n">
        <f aca="false">IF('Données brutes'!CI32="","",'Données brutes'!CI32)</f>
        <v>4</v>
      </c>
      <c r="AS32" s="2" t="n">
        <f aca="false">IF('Données brutes'!CJ32="","",'Données brutes'!CJ32)</f>
        <v>4</v>
      </c>
      <c r="AT32" s="4" t="str">
        <f aca="false">IFERROR(AVERAGE(B32:D32),"")</f>
        <v/>
      </c>
      <c r="AU32" s="4" t="n">
        <f aca="false">IFERROR(AVERAGE(E32:J32),"")</f>
        <v>3.33333333333333</v>
      </c>
      <c r="AV32" s="4" t="n">
        <f aca="false">IFERROR(AVERAGE(K32:Q32),"")</f>
        <v>2.57142857142857</v>
      </c>
      <c r="AW32" s="4" t="n">
        <f aca="false">IFERROR(AVERAGE(R32:Y32),"")</f>
        <v>3.16666666666667</v>
      </c>
      <c r="AX32" s="4" t="n">
        <f aca="false">IFERROR(AVERAGE(Z32:AF32),"")</f>
        <v>2.33333333333333</v>
      </c>
      <c r="AY32" s="4" t="n">
        <f aca="false">IFERROR(AVERAGE(AG32:AJ32),"")</f>
        <v>2.75</v>
      </c>
      <c r="AZ32" s="4" t="n">
        <f aca="false">IFERROR(AVERAGE(AK32:AO32),"")</f>
        <v>3.2</v>
      </c>
      <c r="BA32" s="4" t="n">
        <f aca="false">IFERROR(AVERAGE(AP32:AS32),"")</f>
        <v>3</v>
      </c>
      <c r="BB32" s="4" t="n">
        <f aca="false">IFERROR(AVERAGE(B32:AS32),"")</f>
        <v>2.89473684210526</v>
      </c>
    </row>
    <row r="33" customFormat="false" ht="15" hidden="false" customHeight="false" outlineLevel="0" collapsed="false">
      <c r="A33" s="2" t="n">
        <f aca="false">'Données brutes'!A33</f>
        <v>32</v>
      </c>
      <c r="B33" s="2" t="n">
        <f aca="false">IF('Données brutes'!Y33="","",'Données brutes'!Y33)</f>
        <v>5</v>
      </c>
      <c r="C33" s="2" t="n">
        <f aca="false">IF('Données brutes'!Z33="","",6-'Données brutes'!Z33)</f>
        <v>3</v>
      </c>
      <c r="D33" s="2" t="n">
        <f aca="false">IF('Données brutes'!AA33="","",'Données brutes'!AA33)</f>
        <v>5</v>
      </c>
      <c r="E33" s="2" t="n">
        <f aca="false">IF('Données brutes'!AB33="","",'Données brutes'!AB33)</f>
        <v>3</v>
      </c>
      <c r="F33" s="2" t="n">
        <f aca="false">IF('Données brutes'!AC33="","",6-'Données brutes'!AC33)</f>
        <v>2</v>
      </c>
      <c r="G33" s="2" t="n">
        <f aca="false">IF('Données brutes'!AD33="","",6-'Données brutes'!AD33)</f>
        <v>4</v>
      </c>
      <c r="H33" s="2" t="n">
        <f aca="false">IF('Données brutes'!AE33="","",'Données brutes'!AE33)</f>
        <v>3</v>
      </c>
      <c r="I33" s="2" t="n">
        <f aca="false">IF('Données brutes'!AF33="","",'Données brutes'!AF33)</f>
        <v>3</v>
      </c>
      <c r="J33" s="2" t="n">
        <f aca="false">IF('Données brutes'!AG33="","",6-'Données brutes'!AG33)</f>
        <v>3</v>
      </c>
      <c r="K33" s="2" t="n">
        <f aca="false">IF('Données brutes'!AO33="","",'Données brutes'!AO33)</f>
        <v>4</v>
      </c>
      <c r="L33" s="2" t="n">
        <f aca="false">IF('Données brutes'!AP33="","",6-'Données brutes'!AP33)</f>
        <v>3</v>
      </c>
      <c r="M33" s="2" t="n">
        <f aca="false">IF('Données brutes'!AQ33="","",'Données brutes'!AQ33)</f>
        <v>5</v>
      </c>
      <c r="N33" s="2" t="n">
        <f aca="false">IF('Données brutes'!AR33="","",'Données brutes'!AR33)</f>
        <v>5</v>
      </c>
      <c r="O33" s="2" t="n">
        <f aca="false">IF('Données brutes'!AS33="","",'Données brutes'!AS33)</f>
        <v>5</v>
      </c>
      <c r="P33" s="2" t="n">
        <f aca="false">IF('Données brutes'!AT33="","",'Données brutes'!AT33)</f>
        <v>4</v>
      </c>
      <c r="Q33" s="2" t="n">
        <f aca="false">IF('Données brutes'!AU33="","",'Données brutes'!AU33)</f>
        <v>3</v>
      </c>
      <c r="R33" s="2" t="n">
        <f aca="false">IF('Données brutes'!BC33="","",'Données brutes'!BC33)</f>
        <v>2</v>
      </c>
      <c r="S33" s="2" t="n">
        <f aca="false">IF('Données brutes'!BD33="","",'Données brutes'!BD33)</f>
        <v>4</v>
      </c>
      <c r="T33" s="2" t="n">
        <f aca="false">IF('Données brutes'!BE33="","",'Données brutes'!BE33)</f>
        <v>5</v>
      </c>
      <c r="U33" s="2" t="n">
        <f aca="false">IF('Données brutes'!BF33="","",'Données brutes'!BF33)</f>
        <v>2</v>
      </c>
      <c r="V33" s="2" t="n">
        <f aca="false">IF('Données brutes'!BG33="","",6-'Données brutes'!BG33)</f>
        <v>2</v>
      </c>
      <c r="W33" s="2" t="n">
        <f aca="false">IF('Données brutes'!BH33="","",'Données brutes'!BH33)</f>
        <v>4</v>
      </c>
      <c r="X33" s="2" t="n">
        <f aca="false">IF('Données brutes'!BI33="","",'Données brutes'!BI33)</f>
        <v>4</v>
      </c>
      <c r="Y33" s="2" t="n">
        <f aca="false">IF('Données brutes'!BJ33="","",'Données brutes'!BJ33)</f>
        <v>2</v>
      </c>
      <c r="Z33" s="2" t="n">
        <f aca="false">IF('Données brutes'!BK33="","",6-'Données brutes'!BK33)</f>
        <v>5</v>
      </c>
      <c r="AA33" s="2" t="n">
        <f aca="false">IF('Données brutes'!BL33="","",6-'Données brutes'!BL33)</f>
        <v>2</v>
      </c>
      <c r="AB33" s="2" t="n">
        <f aca="false">IF('Données brutes'!BM33="","",6-'Données brutes'!BM33)</f>
        <v>4</v>
      </c>
      <c r="AC33" s="2" t="n">
        <f aca="false">IF('Données brutes'!BN33="","",6-'Données brutes'!BN33)</f>
        <v>2</v>
      </c>
      <c r="AD33" s="2" t="n">
        <f aca="false">IF('Données brutes'!BO33="","",6-'Données brutes'!BO33)</f>
        <v>2</v>
      </c>
      <c r="AE33" s="2" t="n">
        <f aca="false">IF('Données brutes'!BP33="","",6-'Données brutes'!BP33)</f>
        <v>1</v>
      </c>
      <c r="AF33" s="2" t="n">
        <f aca="false">IF('Données brutes'!BQ33="","",6-'Données brutes'!BQ33)</f>
        <v>5</v>
      </c>
      <c r="AG33" s="2" t="n">
        <f aca="false">IF('Données brutes'!BR33="","",'Données brutes'!BR33)</f>
        <v>3</v>
      </c>
      <c r="AH33" s="2" t="n">
        <f aca="false">IF('Données brutes'!BS33="","",'Données brutes'!BS33)</f>
        <v>4</v>
      </c>
      <c r="AI33" s="2" t="n">
        <f aca="false">IF('Données brutes'!BT33="","",'Données brutes'!BT33)</f>
        <v>4</v>
      </c>
      <c r="AJ33" s="2" t="n">
        <f aca="false">IF('Données brutes'!BU33="","",'Données brutes'!BU33)</f>
        <v>3</v>
      </c>
      <c r="AK33" s="2" t="n">
        <f aca="false">IF('Données brutes'!BV33="","",'Données brutes'!BV33)</f>
        <v>5</v>
      </c>
      <c r="AL33" s="2" t="n">
        <f aca="false">IF('Données brutes'!BW33="","",'Données brutes'!BW33)</f>
        <v>4</v>
      </c>
      <c r="AM33" s="2" t="n">
        <f aca="false">IF('Données brutes'!BX33="","",'Données brutes'!BX33)</f>
        <v>3</v>
      </c>
      <c r="AN33" s="2" t="n">
        <f aca="false">IF('Données brutes'!BY33="","",'Données brutes'!BY33)</f>
        <v>5</v>
      </c>
      <c r="AO33" s="2" t="n">
        <f aca="false">IF('Données brutes'!BZ33="","",'Données brutes'!BZ33)</f>
        <v>4</v>
      </c>
      <c r="AP33" s="2" t="n">
        <f aca="false">IF('Données brutes'!CG33="","",'Données brutes'!CG33)</f>
        <v>4</v>
      </c>
      <c r="AQ33" s="2" t="n">
        <f aca="false">IF('Données brutes'!CH33="","",'Données brutes'!CH33)</f>
        <v>4</v>
      </c>
      <c r="AR33" s="2" t="n">
        <f aca="false">IF('Données brutes'!CI33="","",'Données brutes'!CI33)</f>
        <v>2</v>
      </c>
      <c r="AS33" s="2" t="n">
        <f aca="false">IF('Données brutes'!CJ33="","",'Données brutes'!CJ33)</f>
        <v>2</v>
      </c>
      <c r="AT33" s="4" t="n">
        <f aca="false">IFERROR(AVERAGE(B33:D33),"")</f>
        <v>4.33333333333333</v>
      </c>
      <c r="AU33" s="4" t="n">
        <f aca="false">IFERROR(AVERAGE(E33:J33),"")</f>
        <v>3</v>
      </c>
      <c r="AV33" s="4" t="n">
        <f aca="false">IFERROR(AVERAGE(K33:Q33),"")</f>
        <v>4.14285714285714</v>
      </c>
      <c r="AW33" s="4" t="n">
        <f aca="false">IFERROR(AVERAGE(R33:Y33),"")</f>
        <v>3.125</v>
      </c>
      <c r="AX33" s="4" t="n">
        <f aca="false">IFERROR(AVERAGE(Z33:AF33),"")</f>
        <v>3</v>
      </c>
      <c r="AY33" s="4" t="n">
        <f aca="false">IFERROR(AVERAGE(AG33:AJ33),"")</f>
        <v>3.5</v>
      </c>
      <c r="AZ33" s="4" t="n">
        <f aca="false">IFERROR(AVERAGE(AK33:AO33),"")</f>
        <v>4.2</v>
      </c>
      <c r="BA33" s="4" t="n">
        <f aca="false">IFERROR(AVERAGE(AP33:AS33),"")</f>
        <v>3</v>
      </c>
      <c r="BB33" s="4" t="n">
        <f aca="false">IFERROR(AVERAGE(B33:AS33),"")</f>
        <v>3.47727272727273</v>
      </c>
    </row>
    <row r="34" customFormat="false" ht="15" hidden="false" customHeight="false" outlineLevel="0" collapsed="false">
      <c r="A34" s="2" t="n">
        <f aca="false">'Données brutes'!A34</f>
        <v>33</v>
      </c>
      <c r="B34" s="2" t="n">
        <f aca="false">IF('Données brutes'!Y34="","",'Données brutes'!Y34)</f>
        <v>4</v>
      </c>
      <c r="C34" s="2" t="n">
        <f aca="false">IF('Données brutes'!Z34="","",6-'Données brutes'!Z34)</f>
        <v>3</v>
      </c>
      <c r="D34" s="2" t="n">
        <f aca="false">IF('Données brutes'!AA34="","",'Données brutes'!AA34)</f>
        <v>3</v>
      </c>
      <c r="E34" s="2" t="n">
        <f aca="false">IF('Données brutes'!AB34="","",'Données brutes'!AB34)</f>
        <v>4</v>
      </c>
      <c r="F34" s="2" t="n">
        <f aca="false">IF('Données brutes'!AC34="","",6-'Données brutes'!AC34)</f>
        <v>3</v>
      </c>
      <c r="G34" s="2" t="n">
        <f aca="false">IF('Données brutes'!AD34="","",6-'Données brutes'!AD34)</f>
        <v>3</v>
      </c>
      <c r="H34" s="2" t="n">
        <f aca="false">IF('Données brutes'!AE34="","",'Données brutes'!AE34)</f>
        <v>2</v>
      </c>
      <c r="I34" s="2" t="n">
        <f aca="false">IF('Données brutes'!AF34="","",'Données brutes'!AF34)</f>
        <v>4</v>
      </c>
      <c r="J34" s="2" t="n">
        <f aca="false">IF('Données brutes'!AG34="","",6-'Données brutes'!AG34)</f>
        <v>1</v>
      </c>
      <c r="K34" s="2" t="n">
        <f aca="false">IF('Données brutes'!AO34="","",'Données brutes'!AO34)</f>
        <v>5</v>
      </c>
      <c r="L34" s="2" t="n">
        <f aca="false">IF('Données brutes'!AP34="","",6-'Données brutes'!AP34)</f>
        <v>4</v>
      </c>
      <c r="M34" s="2" t="n">
        <f aca="false">IF('Données brutes'!AQ34="","",'Données brutes'!AQ34)</f>
        <v>5</v>
      </c>
      <c r="N34" s="2" t="n">
        <f aca="false">IF('Données brutes'!AR34="","",'Données brutes'!AR34)</f>
        <v>3</v>
      </c>
      <c r="O34" s="2" t="n">
        <f aca="false">IF('Données brutes'!AS34="","",'Données brutes'!AS34)</f>
        <v>3</v>
      </c>
      <c r="P34" s="2" t="n">
        <f aca="false">IF('Données brutes'!AT34="","",'Données brutes'!AT34)</f>
        <v>3</v>
      </c>
      <c r="Q34" s="2" t="n">
        <f aca="false">IF('Données brutes'!AU34="","",'Données brutes'!AU34)</f>
        <v>4</v>
      </c>
      <c r="R34" s="2" t="n">
        <f aca="false">IF('Données brutes'!BC34="","",'Données brutes'!BC34)</f>
        <v>4</v>
      </c>
      <c r="S34" s="2" t="n">
        <f aca="false">IF('Données brutes'!BD34="","",'Données brutes'!BD34)</f>
        <v>3</v>
      </c>
      <c r="T34" s="2" t="n">
        <f aca="false">IF('Données brutes'!BE34="","",'Données brutes'!BE34)</f>
        <v>4</v>
      </c>
      <c r="U34" s="2" t="n">
        <f aca="false">IF('Données brutes'!BF34="","",'Données brutes'!BF34)</f>
        <v>2</v>
      </c>
      <c r="V34" s="2" t="n">
        <f aca="false">IF('Données brutes'!BG34="","",6-'Données brutes'!BG34)</f>
        <v>4</v>
      </c>
      <c r="W34" s="2" t="n">
        <f aca="false">IF('Données brutes'!BH34="","",'Données brutes'!BH34)</f>
        <v>3</v>
      </c>
      <c r="X34" s="2" t="n">
        <f aca="false">IF('Données brutes'!BI34="","",'Données brutes'!BI34)</f>
        <v>5</v>
      </c>
      <c r="Y34" s="2" t="n">
        <f aca="false">IF('Données brutes'!BJ34="","",'Données brutes'!BJ34)</f>
        <v>5</v>
      </c>
      <c r="Z34" s="2" t="n">
        <f aca="false">IF('Données brutes'!BK34="","",6-'Données brutes'!BK34)</f>
        <v>5</v>
      </c>
      <c r="AA34" s="2" t="n">
        <f aca="false">IF('Données brutes'!BL34="","",6-'Données brutes'!BL34)</f>
        <v>3</v>
      </c>
      <c r="AB34" s="2" t="n">
        <f aca="false">IF('Données brutes'!BM34="","",6-'Données brutes'!BM34)</f>
        <v>5</v>
      </c>
      <c r="AC34" s="2" t="n">
        <f aca="false">IF('Données brutes'!BN34="","",6-'Données brutes'!BN34)</f>
        <v>1</v>
      </c>
      <c r="AD34" s="2" t="n">
        <f aca="false">IF('Données brutes'!BO34="","",6-'Données brutes'!BO34)</f>
        <v>1</v>
      </c>
      <c r="AE34" s="2" t="n">
        <f aca="false">IF('Données brutes'!BP34="","",6-'Données brutes'!BP34)</f>
        <v>3</v>
      </c>
      <c r="AF34" s="2" t="n">
        <f aca="false">IF('Données brutes'!BQ34="","",6-'Données brutes'!BQ34)</f>
        <v>2</v>
      </c>
      <c r="AG34" s="2" t="n">
        <f aca="false">IF('Données brutes'!BR34="","",'Données brutes'!BR34)</f>
        <v>4</v>
      </c>
      <c r="AH34" s="2" t="n">
        <f aca="false">IF('Données brutes'!BS34="","",'Données brutes'!BS34)</f>
        <v>1</v>
      </c>
      <c r="AI34" s="2" t="n">
        <f aca="false">IF('Données brutes'!BT34="","",'Données brutes'!BT34)</f>
        <v>2</v>
      </c>
      <c r="AJ34" s="2" t="n">
        <f aca="false">IF('Données brutes'!BU34="","",'Données brutes'!BU34)</f>
        <v>4</v>
      </c>
      <c r="AK34" s="2" t="n">
        <f aca="false">IF('Données brutes'!BV34="","",'Données brutes'!BV34)</f>
        <v>5</v>
      </c>
      <c r="AL34" s="2" t="n">
        <f aca="false">IF('Données brutes'!BW34="","",'Données brutes'!BW34)</f>
        <v>5</v>
      </c>
      <c r="AM34" s="2" t="n">
        <f aca="false">IF('Données brutes'!BX34="","",'Données brutes'!BX34)</f>
        <v>4</v>
      </c>
      <c r="AN34" s="2" t="n">
        <f aca="false">IF('Données brutes'!BY34="","",'Données brutes'!BY34)</f>
        <v>4</v>
      </c>
      <c r="AO34" s="2" t="n">
        <f aca="false">IF('Données brutes'!BZ34="","",'Données brutes'!BZ34)</f>
        <v>2</v>
      </c>
      <c r="AP34" s="2" t="n">
        <f aca="false">IF('Données brutes'!CG34="","",'Données brutes'!CG34)</f>
        <v>2</v>
      </c>
      <c r="AQ34" s="2" t="n">
        <f aca="false">IF('Données brutes'!CH34="","",'Données brutes'!CH34)</f>
        <v>5</v>
      </c>
      <c r="AR34" s="2" t="n">
        <f aca="false">IF('Données brutes'!CI34="","",'Données brutes'!CI34)</f>
        <v>1</v>
      </c>
      <c r="AS34" s="2" t="n">
        <f aca="false">IF('Données brutes'!CJ34="","",'Données brutes'!CJ34)</f>
        <v>1</v>
      </c>
      <c r="AT34" s="4" t="n">
        <f aca="false">IFERROR(AVERAGE(B34:D34),"")</f>
        <v>3.33333333333333</v>
      </c>
      <c r="AU34" s="4" t="n">
        <f aca="false">IFERROR(AVERAGE(E34:J34),"")</f>
        <v>2.83333333333333</v>
      </c>
      <c r="AV34" s="4" t="n">
        <f aca="false">IFERROR(AVERAGE(K34:Q34),"")</f>
        <v>3.85714285714286</v>
      </c>
      <c r="AW34" s="4" t="n">
        <f aca="false">IFERROR(AVERAGE(R34:Y34),"")</f>
        <v>3.75</v>
      </c>
      <c r="AX34" s="4" t="n">
        <f aca="false">IFERROR(AVERAGE(Z34:AF34),"")</f>
        <v>2.85714285714286</v>
      </c>
      <c r="AY34" s="4" t="n">
        <f aca="false">IFERROR(AVERAGE(AG34:AJ34),"")</f>
        <v>2.75</v>
      </c>
      <c r="AZ34" s="4" t="n">
        <f aca="false">IFERROR(AVERAGE(AK34:AO34),"")</f>
        <v>4</v>
      </c>
      <c r="BA34" s="4" t="n">
        <f aca="false">IFERROR(AVERAGE(AP34:AS34),"")</f>
        <v>2.25</v>
      </c>
      <c r="BB34" s="4" t="n">
        <f aca="false">IFERROR(AVERAGE(B34:AS34),"")</f>
        <v>3.27272727272727</v>
      </c>
    </row>
    <row r="35" customFormat="false" ht="15" hidden="false" customHeight="false" outlineLevel="0" collapsed="false">
      <c r="A35" s="2" t="n">
        <f aca="false">'Données brutes'!A35</f>
        <v>34</v>
      </c>
      <c r="B35" s="2" t="str">
        <f aca="false">IF('Données brutes'!Y35="","",'Données brutes'!Y35)</f>
        <v/>
      </c>
      <c r="C35" s="2" t="str">
        <f aca="false">IF('Données brutes'!Z35="","",6-'Données brutes'!Z35)</f>
        <v/>
      </c>
      <c r="D35" s="2" t="str">
        <f aca="false">IF('Données brutes'!AA35="","",'Données brutes'!AA35)</f>
        <v/>
      </c>
      <c r="E35" s="2" t="n">
        <f aca="false">IF('Données brutes'!AB35="","",'Données brutes'!AB35)</f>
        <v>2</v>
      </c>
      <c r="F35" s="2" t="n">
        <f aca="false">IF('Données brutes'!AC35="","",6-'Données brutes'!AC35)</f>
        <v>5</v>
      </c>
      <c r="G35" s="2" t="n">
        <f aca="false">IF('Données brutes'!AD35="","",6-'Données brutes'!AD35)</f>
        <v>1</v>
      </c>
      <c r="H35" s="2" t="n">
        <f aca="false">IF('Données brutes'!AE35="","",'Données brutes'!AE35)</f>
        <v>3</v>
      </c>
      <c r="I35" s="2" t="n">
        <f aca="false">IF('Données brutes'!AF35="","",'Données brutes'!AF35)</f>
        <v>5</v>
      </c>
      <c r="J35" s="2" t="n">
        <f aca="false">IF('Données brutes'!AG35="","",6-'Données brutes'!AG35)</f>
        <v>2</v>
      </c>
      <c r="K35" s="2" t="n">
        <f aca="false">IF('Données brutes'!AO35="","",'Données brutes'!AO35)</f>
        <v>3</v>
      </c>
      <c r="L35" s="2" t="n">
        <f aca="false">IF('Données brutes'!AP35="","",6-'Données brutes'!AP35)</f>
        <v>3</v>
      </c>
      <c r="M35" s="2" t="n">
        <f aca="false">IF('Données brutes'!AQ35="","",'Données brutes'!AQ35)</f>
        <v>5</v>
      </c>
      <c r="N35" s="2" t="n">
        <f aca="false">IF('Données brutes'!AR35="","",'Données brutes'!AR35)</f>
        <v>3</v>
      </c>
      <c r="O35" s="2" t="n">
        <f aca="false">IF('Données brutes'!AS35="","",'Données brutes'!AS35)</f>
        <v>2</v>
      </c>
      <c r="P35" s="2" t="n">
        <f aca="false">IF('Données brutes'!AT35="","",'Données brutes'!AT35)</f>
        <v>5</v>
      </c>
      <c r="Q35" s="2" t="n">
        <f aca="false">IF('Données brutes'!AU35="","",'Données brutes'!AU35)</f>
        <v>3</v>
      </c>
      <c r="R35" s="2" t="n">
        <f aca="false">IF('Données brutes'!BC35="","",'Données brutes'!BC35)</f>
        <v>4</v>
      </c>
      <c r="S35" s="2" t="n">
        <f aca="false">IF('Données brutes'!BD35="","",'Données brutes'!BD35)</f>
        <v>2</v>
      </c>
      <c r="T35" s="2" t="n">
        <f aca="false">IF('Données brutes'!BE35="","",'Données brutes'!BE35)</f>
        <v>3</v>
      </c>
      <c r="U35" s="2" t="n">
        <f aca="false">IF('Données brutes'!BF35="","",'Données brutes'!BF35)</f>
        <v>2</v>
      </c>
      <c r="V35" s="2" t="n">
        <f aca="false">IF('Données brutes'!BG35="","",6-'Données brutes'!BG35)</f>
        <v>3</v>
      </c>
      <c r="W35" s="2" t="n">
        <f aca="false">IF('Données brutes'!BH35="","",'Données brutes'!BH35)</f>
        <v>2</v>
      </c>
      <c r="X35" s="2" t="n">
        <f aca="false">IF('Données brutes'!BI35="","",'Données brutes'!BI35)</f>
        <v>2</v>
      </c>
      <c r="Y35" s="2" t="n">
        <f aca="false">IF('Données brutes'!BJ35="","",'Données brutes'!BJ35)</f>
        <v>3</v>
      </c>
      <c r="Z35" s="2" t="n">
        <f aca="false">IF('Données brutes'!BK35="","",6-'Données brutes'!BK35)</f>
        <v>2</v>
      </c>
      <c r="AA35" s="2" t="n">
        <f aca="false">IF('Données brutes'!BL35="","",6-'Données brutes'!BL35)</f>
        <v>4</v>
      </c>
      <c r="AB35" s="2" t="n">
        <f aca="false">IF('Données brutes'!BM35="","",6-'Données brutes'!BM35)</f>
        <v>3</v>
      </c>
      <c r="AC35" s="2" t="n">
        <f aca="false">IF('Données brutes'!BN35="","",6-'Données brutes'!BN35)</f>
        <v>2</v>
      </c>
      <c r="AD35" s="2" t="n">
        <f aca="false">IF('Données brutes'!BO35="","",6-'Données brutes'!BO35)</f>
        <v>5</v>
      </c>
      <c r="AE35" s="2" t="n">
        <f aca="false">IF('Données brutes'!BP35="","",6-'Données brutes'!BP35)</f>
        <v>2</v>
      </c>
      <c r="AF35" s="2" t="n">
        <f aca="false">IF('Données brutes'!BQ35="","",6-'Données brutes'!BQ35)</f>
        <v>2</v>
      </c>
      <c r="AG35" s="2" t="n">
        <f aca="false">IF('Données brutes'!BR35="","",'Données brutes'!BR35)</f>
        <v>5</v>
      </c>
      <c r="AH35" s="2" t="str">
        <f aca="false">IF('Données brutes'!BS35="","",'Données brutes'!BS35)</f>
        <v/>
      </c>
      <c r="AI35" s="2" t="n">
        <f aca="false">IF('Données brutes'!BT35="","",'Données brutes'!BT35)</f>
        <v>3</v>
      </c>
      <c r="AJ35" s="2" t="n">
        <f aca="false">IF('Données brutes'!BU35="","",'Données brutes'!BU35)</f>
        <v>4</v>
      </c>
      <c r="AK35" s="2" t="n">
        <f aca="false">IF('Données brutes'!BV35="","",'Données brutes'!BV35)</f>
        <v>5</v>
      </c>
      <c r="AL35" s="2" t="n">
        <f aca="false">IF('Données brutes'!BW35="","",'Données brutes'!BW35)</f>
        <v>5</v>
      </c>
      <c r="AM35" s="2" t="n">
        <f aca="false">IF('Données brutes'!BX35="","",'Données brutes'!BX35)</f>
        <v>2</v>
      </c>
      <c r="AN35" s="2" t="n">
        <f aca="false">IF('Données brutes'!BY35="","",'Données brutes'!BY35)</f>
        <v>2</v>
      </c>
      <c r="AO35" s="2" t="n">
        <f aca="false">IF('Données brutes'!BZ35="","",'Données brutes'!BZ35)</f>
        <v>4</v>
      </c>
      <c r="AP35" s="2" t="n">
        <f aca="false">IF('Données brutes'!CG35="","",'Données brutes'!CG35)</f>
        <v>2</v>
      </c>
      <c r="AQ35" s="2" t="n">
        <f aca="false">IF('Données brutes'!CH35="","",'Données brutes'!CH35)</f>
        <v>5</v>
      </c>
      <c r="AR35" s="2" t="n">
        <f aca="false">IF('Données brutes'!CI35="","",'Données brutes'!CI35)</f>
        <v>5</v>
      </c>
      <c r="AS35" s="2" t="n">
        <f aca="false">IF('Données brutes'!CJ35="","",'Données brutes'!CJ35)</f>
        <v>2</v>
      </c>
      <c r="AT35" s="4" t="str">
        <f aca="false">IFERROR(AVERAGE(B35:D35),"")</f>
        <v/>
      </c>
      <c r="AU35" s="4" t="n">
        <f aca="false">IFERROR(AVERAGE(E35:J35),"")</f>
        <v>3</v>
      </c>
      <c r="AV35" s="4" t="n">
        <f aca="false">IFERROR(AVERAGE(K35:Q35),"")</f>
        <v>3.42857142857143</v>
      </c>
      <c r="AW35" s="4" t="n">
        <f aca="false">IFERROR(AVERAGE(R35:Y35),"")</f>
        <v>2.625</v>
      </c>
      <c r="AX35" s="4" t="n">
        <f aca="false">IFERROR(AVERAGE(Z35:AF35),"")</f>
        <v>2.85714285714286</v>
      </c>
      <c r="AY35" s="4" t="n">
        <f aca="false">IFERROR(AVERAGE(AG35:AJ35),"")</f>
        <v>4</v>
      </c>
      <c r="AZ35" s="4" t="n">
        <f aca="false">IFERROR(AVERAGE(AK35:AO35),"")</f>
        <v>3.6</v>
      </c>
      <c r="BA35" s="4" t="n">
        <f aca="false">IFERROR(AVERAGE(AP35:AS35),"")</f>
        <v>3.5</v>
      </c>
      <c r="BB35" s="4" t="n">
        <f aca="false">IFERROR(AVERAGE(B35:AS35),"")</f>
        <v>3.175</v>
      </c>
    </row>
    <row r="36" customFormat="false" ht="15" hidden="false" customHeight="false" outlineLevel="0" collapsed="false">
      <c r="A36" s="2" t="n">
        <f aca="false">'Données brutes'!A36</f>
        <v>35</v>
      </c>
      <c r="B36" s="2" t="n">
        <f aca="false">IF('Données brutes'!Y36="","",'Données brutes'!Y36)</f>
        <v>3</v>
      </c>
      <c r="C36" s="2" t="n">
        <f aca="false">IF('Données brutes'!Z36="","",6-'Données brutes'!Z36)</f>
        <v>3</v>
      </c>
      <c r="D36" s="2" t="n">
        <f aca="false">IF('Données brutes'!AA36="","",'Données brutes'!AA36)</f>
        <v>3</v>
      </c>
      <c r="E36" s="2" t="n">
        <f aca="false">IF('Données brutes'!AB36="","",'Données brutes'!AB36)</f>
        <v>3</v>
      </c>
      <c r="F36" s="2" t="n">
        <f aca="false">IF('Données brutes'!AC36="","",6-'Données brutes'!AC36)</f>
        <v>3</v>
      </c>
      <c r="G36" s="2" t="n">
        <f aca="false">IF('Données brutes'!AD36="","",6-'Données brutes'!AD36)</f>
        <v>3</v>
      </c>
      <c r="H36" s="2" t="n">
        <f aca="false">IF('Données brutes'!AE36="","",'Données brutes'!AE36)</f>
        <v>3</v>
      </c>
      <c r="I36" s="2" t="n">
        <f aca="false">IF('Données brutes'!AF36="","",'Données brutes'!AF36)</f>
        <v>4</v>
      </c>
      <c r="J36" s="2" t="n">
        <f aca="false">IF('Données brutes'!AG36="","",6-'Données brutes'!AG36)</f>
        <v>3</v>
      </c>
      <c r="K36" s="2" t="n">
        <f aca="false">IF('Données brutes'!AO36="","",'Données brutes'!AO36)</f>
        <v>1</v>
      </c>
      <c r="L36" s="2" t="n">
        <f aca="false">IF('Données brutes'!AP36="","",6-'Données brutes'!AP36)</f>
        <v>3</v>
      </c>
      <c r="M36" s="2" t="n">
        <f aca="false">IF('Données brutes'!AQ36="","",'Données brutes'!AQ36)</f>
        <v>5</v>
      </c>
      <c r="N36" s="2" t="n">
        <f aca="false">IF('Données brutes'!AR36="","",'Données brutes'!AR36)</f>
        <v>4</v>
      </c>
      <c r="O36" s="2" t="n">
        <f aca="false">IF('Données brutes'!AS36="","",'Données brutes'!AS36)</f>
        <v>1</v>
      </c>
      <c r="P36" s="2" t="n">
        <f aca="false">IF('Données brutes'!AT36="","",'Données brutes'!AT36)</f>
        <v>4</v>
      </c>
      <c r="Q36" s="2" t="n">
        <f aca="false">IF('Données brutes'!AU36="","",'Données brutes'!AU36)</f>
        <v>4</v>
      </c>
      <c r="R36" s="2" t="n">
        <f aca="false">IF('Données brutes'!BC36="","",'Données brutes'!BC36)</f>
        <v>4</v>
      </c>
      <c r="S36" s="2" t="n">
        <f aca="false">IF('Données brutes'!BD36="","",'Données brutes'!BD36)</f>
        <v>3</v>
      </c>
      <c r="T36" s="2" t="n">
        <f aca="false">IF('Données brutes'!BE36="","",'Données brutes'!BE36)</f>
        <v>3</v>
      </c>
      <c r="U36" s="2" t="n">
        <f aca="false">IF('Données brutes'!BF36="","",'Données brutes'!BF36)</f>
        <v>1</v>
      </c>
      <c r="V36" s="2" t="n">
        <f aca="false">IF('Données brutes'!BG36="","",6-'Données brutes'!BG36)</f>
        <v>3</v>
      </c>
      <c r="W36" s="2" t="n">
        <f aca="false">IF('Données brutes'!BH36="","",'Données brutes'!BH36)</f>
        <v>4</v>
      </c>
      <c r="X36" s="2" t="n">
        <f aca="false">IF('Données brutes'!BI36="","",'Données brutes'!BI36)</f>
        <v>5</v>
      </c>
      <c r="Y36" s="2" t="n">
        <f aca="false">IF('Données brutes'!BJ36="","",'Données brutes'!BJ36)</f>
        <v>3</v>
      </c>
      <c r="Z36" s="2" t="n">
        <f aca="false">IF('Données brutes'!BK36="","",6-'Données brutes'!BK36)</f>
        <v>3</v>
      </c>
      <c r="AA36" s="2" t="n">
        <f aca="false">IF('Données brutes'!BL36="","",6-'Données brutes'!BL36)</f>
        <v>4</v>
      </c>
      <c r="AB36" s="2" t="n">
        <f aca="false">IF('Données brutes'!BM36="","",6-'Données brutes'!BM36)</f>
        <v>4</v>
      </c>
      <c r="AC36" s="2" t="str">
        <f aca="false">IF('Données brutes'!BN36="","",6-'Données brutes'!BN36)</f>
        <v/>
      </c>
      <c r="AD36" s="2" t="n">
        <f aca="false">IF('Données brutes'!BO36="","",6-'Données brutes'!BO36)</f>
        <v>4</v>
      </c>
      <c r="AE36" s="2" t="n">
        <f aca="false">IF('Données brutes'!BP36="","",6-'Données brutes'!BP36)</f>
        <v>1</v>
      </c>
      <c r="AF36" s="2" t="n">
        <f aca="false">IF('Données brutes'!BQ36="","",6-'Données brutes'!BQ36)</f>
        <v>5</v>
      </c>
      <c r="AG36" s="2" t="n">
        <f aca="false">IF('Données brutes'!BR36="","",'Données brutes'!BR36)</f>
        <v>4</v>
      </c>
      <c r="AH36" s="2" t="n">
        <f aca="false">IF('Données brutes'!BS36="","",'Données brutes'!BS36)</f>
        <v>3</v>
      </c>
      <c r="AI36" s="2" t="n">
        <f aca="false">IF('Données brutes'!BT36="","",'Données brutes'!BT36)</f>
        <v>4</v>
      </c>
      <c r="AJ36" s="2" t="n">
        <f aca="false">IF('Données brutes'!BU36="","",'Données brutes'!BU36)</f>
        <v>4</v>
      </c>
      <c r="AK36" s="2" t="n">
        <f aca="false">IF('Données brutes'!BV36="","",'Données brutes'!BV36)</f>
        <v>3</v>
      </c>
      <c r="AL36" s="2" t="n">
        <f aca="false">IF('Données brutes'!BW36="","",'Données brutes'!BW36)</f>
        <v>2</v>
      </c>
      <c r="AM36" s="2" t="n">
        <f aca="false">IF('Données brutes'!BX36="","",'Données brutes'!BX36)</f>
        <v>5</v>
      </c>
      <c r="AN36" s="2" t="n">
        <f aca="false">IF('Données brutes'!BY36="","",'Données brutes'!BY36)</f>
        <v>4</v>
      </c>
      <c r="AO36" s="2" t="n">
        <f aca="false">IF('Données brutes'!BZ36="","",'Données brutes'!BZ36)</f>
        <v>4</v>
      </c>
      <c r="AP36" s="2" t="n">
        <f aca="false">IF('Données brutes'!CG36="","",'Données brutes'!CG36)</f>
        <v>4</v>
      </c>
      <c r="AQ36" s="2" t="n">
        <f aca="false">IF('Données brutes'!CH36="","",'Données brutes'!CH36)</f>
        <v>2</v>
      </c>
      <c r="AR36" s="2" t="n">
        <f aca="false">IF('Données brutes'!CI36="","",'Données brutes'!CI36)</f>
        <v>1</v>
      </c>
      <c r="AS36" s="2" t="n">
        <f aca="false">IF('Données brutes'!CJ36="","",'Données brutes'!CJ36)</f>
        <v>2</v>
      </c>
      <c r="AT36" s="4" t="n">
        <f aca="false">IFERROR(AVERAGE(B36:D36),"")</f>
        <v>3</v>
      </c>
      <c r="AU36" s="4" t="n">
        <f aca="false">IFERROR(AVERAGE(E36:J36),"")</f>
        <v>3.16666666666667</v>
      </c>
      <c r="AV36" s="4" t="n">
        <f aca="false">IFERROR(AVERAGE(K36:Q36),"")</f>
        <v>3.14285714285714</v>
      </c>
      <c r="AW36" s="4" t="n">
        <f aca="false">IFERROR(AVERAGE(R36:Y36),"")</f>
        <v>3.25</v>
      </c>
      <c r="AX36" s="4" t="n">
        <f aca="false">IFERROR(AVERAGE(Z36:AF36),"")</f>
        <v>3.5</v>
      </c>
      <c r="AY36" s="4" t="n">
        <f aca="false">IFERROR(AVERAGE(AG36:AJ36),"")</f>
        <v>3.75</v>
      </c>
      <c r="AZ36" s="4" t="n">
        <f aca="false">IFERROR(AVERAGE(AK36:AO36),"")</f>
        <v>3.6</v>
      </c>
      <c r="BA36" s="4" t="n">
        <f aca="false">IFERROR(AVERAGE(AP36:AS36),"")</f>
        <v>2.25</v>
      </c>
      <c r="BB36" s="4" t="n">
        <f aca="false">IFERROR(AVERAGE(B36:AS36),"")</f>
        <v>3.23255813953488</v>
      </c>
    </row>
    <row r="37" customFormat="false" ht="15" hidden="false" customHeight="false" outlineLevel="0" collapsed="false">
      <c r="A37" s="2" t="n">
        <f aca="false">'Données brutes'!A37</f>
        <v>36</v>
      </c>
      <c r="B37" s="2" t="str">
        <f aca="false">IF('Données brutes'!Y37="","",'Données brutes'!Y37)</f>
        <v/>
      </c>
      <c r="C37" s="2" t="str">
        <f aca="false">IF('Données brutes'!Z37="","",6-'Données brutes'!Z37)</f>
        <v/>
      </c>
      <c r="D37" s="2" t="str">
        <f aca="false">IF('Données brutes'!AA37="","",'Données brutes'!AA37)</f>
        <v/>
      </c>
      <c r="E37" s="2" t="n">
        <f aca="false">IF('Données brutes'!AB37="","",'Données brutes'!AB37)</f>
        <v>2</v>
      </c>
      <c r="F37" s="2" t="n">
        <f aca="false">IF('Données brutes'!AC37="","",6-'Données brutes'!AC37)</f>
        <v>4</v>
      </c>
      <c r="G37" s="2" t="n">
        <f aca="false">IF('Données brutes'!AD37="","",6-'Données brutes'!AD37)</f>
        <v>2</v>
      </c>
      <c r="H37" s="2" t="n">
        <f aca="false">IF('Données brutes'!AE37="","",'Données brutes'!AE37)</f>
        <v>4</v>
      </c>
      <c r="I37" s="2" t="n">
        <f aca="false">IF('Données brutes'!AF37="","",'Données brutes'!AF37)</f>
        <v>3</v>
      </c>
      <c r="J37" s="2" t="n">
        <f aca="false">IF('Données brutes'!AG37="","",6-'Données brutes'!AG37)</f>
        <v>3</v>
      </c>
      <c r="K37" s="2" t="n">
        <f aca="false">IF('Données brutes'!AO37="","",'Données brutes'!AO37)</f>
        <v>2</v>
      </c>
      <c r="L37" s="2" t="n">
        <f aca="false">IF('Données brutes'!AP37="","",6-'Données brutes'!AP37)</f>
        <v>1</v>
      </c>
      <c r="M37" s="2" t="n">
        <f aca="false">IF('Données brutes'!AQ37="","",'Données brutes'!AQ37)</f>
        <v>2</v>
      </c>
      <c r="N37" s="2" t="n">
        <f aca="false">IF('Données brutes'!AR37="","",'Données brutes'!AR37)</f>
        <v>1</v>
      </c>
      <c r="O37" s="2" t="n">
        <f aca="false">IF('Données brutes'!AS37="","",'Données brutes'!AS37)</f>
        <v>4</v>
      </c>
      <c r="P37" s="2" t="n">
        <f aca="false">IF('Données brutes'!AT37="","",'Données brutes'!AT37)</f>
        <v>5</v>
      </c>
      <c r="Q37" s="2" t="n">
        <f aca="false">IF('Données brutes'!AU37="","",'Données brutes'!AU37)</f>
        <v>3</v>
      </c>
      <c r="R37" s="2" t="n">
        <f aca="false">IF('Données brutes'!BC37="","",'Données brutes'!BC37)</f>
        <v>5</v>
      </c>
      <c r="S37" s="2" t="n">
        <f aca="false">IF('Données brutes'!BD37="","",'Données brutes'!BD37)</f>
        <v>5</v>
      </c>
      <c r="T37" s="2" t="str">
        <f aca="false">IF('Données brutes'!BE37="","",'Données brutes'!BE37)</f>
        <v/>
      </c>
      <c r="U37" s="2" t="n">
        <f aca="false">IF('Données brutes'!BF37="","",'Données brutes'!BF37)</f>
        <v>5</v>
      </c>
      <c r="V37" s="2" t="n">
        <f aca="false">IF('Données brutes'!BG37="","",6-'Données brutes'!BG37)</f>
        <v>1</v>
      </c>
      <c r="W37" s="2" t="n">
        <f aca="false">IF('Données brutes'!BH37="","",'Données brutes'!BH37)</f>
        <v>4</v>
      </c>
      <c r="X37" s="2" t="n">
        <f aca="false">IF('Données brutes'!BI37="","",'Données brutes'!BI37)</f>
        <v>3</v>
      </c>
      <c r="Y37" s="2" t="n">
        <f aca="false">IF('Données brutes'!BJ37="","",'Données brutes'!BJ37)</f>
        <v>4</v>
      </c>
      <c r="Z37" s="2" t="n">
        <f aca="false">IF('Données brutes'!BK37="","",6-'Données brutes'!BK37)</f>
        <v>1</v>
      </c>
      <c r="AA37" s="2" t="n">
        <f aca="false">IF('Données brutes'!BL37="","",6-'Données brutes'!BL37)</f>
        <v>1</v>
      </c>
      <c r="AB37" s="2" t="n">
        <f aca="false">IF('Données brutes'!BM37="","",6-'Données brutes'!BM37)</f>
        <v>1</v>
      </c>
      <c r="AC37" s="2" t="n">
        <f aca="false">IF('Données brutes'!BN37="","",6-'Données brutes'!BN37)</f>
        <v>1</v>
      </c>
      <c r="AD37" s="2" t="n">
        <f aca="false">IF('Données brutes'!BO37="","",6-'Données brutes'!BO37)</f>
        <v>4</v>
      </c>
      <c r="AE37" s="2" t="n">
        <f aca="false">IF('Données brutes'!BP37="","",6-'Données brutes'!BP37)</f>
        <v>1</v>
      </c>
      <c r="AF37" s="2" t="n">
        <f aca="false">IF('Données brutes'!BQ37="","",6-'Données brutes'!BQ37)</f>
        <v>2</v>
      </c>
      <c r="AG37" s="2" t="n">
        <f aca="false">IF('Données brutes'!BR37="","",'Données brutes'!BR37)</f>
        <v>5</v>
      </c>
      <c r="AH37" s="2" t="n">
        <f aca="false">IF('Données brutes'!BS37="","",'Données brutes'!BS37)</f>
        <v>4</v>
      </c>
      <c r="AI37" s="2" t="n">
        <f aca="false">IF('Données brutes'!BT37="","",'Données brutes'!BT37)</f>
        <v>4</v>
      </c>
      <c r="AJ37" s="2" t="n">
        <f aca="false">IF('Données brutes'!BU37="","",'Données brutes'!BU37)</f>
        <v>2</v>
      </c>
      <c r="AK37" s="2" t="n">
        <f aca="false">IF('Données brutes'!BV37="","",'Données brutes'!BV37)</f>
        <v>4</v>
      </c>
      <c r="AL37" s="2" t="n">
        <f aca="false">IF('Données brutes'!BW37="","",'Données brutes'!BW37)</f>
        <v>2</v>
      </c>
      <c r="AM37" s="2" t="n">
        <f aca="false">IF('Données brutes'!BX37="","",'Données brutes'!BX37)</f>
        <v>3</v>
      </c>
      <c r="AN37" s="2" t="n">
        <f aca="false">IF('Données brutes'!BY37="","",'Données brutes'!BY37)</f>
        <v>4</v>
      </c>
      <c r="AO37" s="2" t="n">
        <f aca="false">IF('Données brutes'!BZ37="","",'Données brutes'!BZ37)</f>
        <v>2</v>
      </c>
      <c r="AP37" s="2" t="n">
        <f aca="false">IF('Données brutes'!CG37="","",'Données brutes'!CG37)</f>
        <v>3</v>
      </c>
      <c r="AQ37" s="2" t="n">
        <f aca="false">IF('Données brutes'!CH37="","",'Données brutes'!CH37)</f>
        <v>3</v>
      </c>
      <c r="AR37" s="2" t="n">
        <f aca="false">IF('Données brutes'!CI37="","",'Données brutes'!CI37)</f>
        <v>4</v>
      </c>
      <c r="AS37" s="2" t="n">
        <f aca="false">IF('Données brutes'!CJ37="","",'Données brutes'!CJ37)</f>
        <v>3</v>
      </c>
      <c r="AT37" s="4" t="str">
        <f aca="false">IFERROR(AVERAGE(B37:D37),"")</f>
        <v/>
      </c>
      <c r="AU37" s="4" t="n">
        <f aca="false">IFERROR(AVERAGE(E37:J37),"")</f>
        <v>3</v>
      </c>
      <c r="AV37" s="4" t="n">
        <f aca="false">IFERROR(AVERAGE(K37:Q37),"")</f>
        <v>2.57142857142857</v>
      </c>
      <c r="AW37" s="4" t="n">
        <f aca="false">IFERROR(AVERAGE(R37:Y37),"")</f>
        <v>3.85714285714286</v>
      </c>
      <c r="AX37" s="4" t="n">
        <f aca="false">IFERROR(AVERAGE(Z37:AF37),"")</f>
        <v>1.57142857142857</v>
      </c>
      <c r="AY37" s="4" t="n">
        <f aca="false">IFERROR(AVERAGE(AG37:AJ37),"")</f>
        <v>3.75</v>
      </c>
      <c r="AZ37" s="4" t="n">
        <f aca="false">IFERROR(AVERAGE(AK37:AO37),"")</f>
        <v>3</v>
      </c>
      <c r="BA37" s="4" t="n">
        <f aca="false">IFERROR(AVERAGE(AP37:AS37),"")</f>
        <v>3.25</v>
      </c>
      <c r="BB37" s="4" t="n">
        <f aca="false">IFERROR(AVERAGE(B37:AS37),"")</f>
        <v>2.925</v>
      </c>
    </row>
    <row r="38" customFormat="false" ht="15" hidden="false" customHeight="false" outlineLevel="0" collapsed="false">
      <c r="A38" s="2" t="n">
        <f aca="false">'Données brutes'!A38</f>
        <v>37</v>
      </c>
      <c r="B38" s="2" t="n">
        <f aca="false">IF('Données brutes'!Y38="","",'Données brutes'!Y38)</f>
        <v>2</v>
      </c>
      <c r="C38" s="2" t="n">
        <f aca="false">IF('Données brutes'!Z38="","",6-'Données brutes'!Z38)</f>
        <v>3</v>
      </c>
      <c r="D38" s="2" t="n">
        <f aca="false">IF('Données brutes'!AA38="","",'Données brutes'!AA38)</f>
        <v>4</v>
      </c>
      <c r="E38" s="2" t="n">
        <f aca="false">IF('Données brutes'!AB38="","",'Données brutes'!AB38)</f>
        <v>4</v>
      </c>
      <c r="F38" s="2" t="n">
        <f aca="false">IF('Données brutes'!AC38="","",6-'Données brutes'!AC38)</f>
        <v>1</v>
      </c>
      <c r="G38" s="2" t="n">
        <f aca="false">IF('Données brutes'!AD38="","",6-'Données brutes'!AD38)</f>
        <v>4</v>
      </c>
      <c r="H38" s="2" t="n">
        <f aca="false">IF('Données brutes'!AE38="","",'Données brutes'!AE38)</f>
        <v>2</v>
      </c>
      <c r="I38" s="2" t="n">
        <f aca="false">IF('Données brutes'!AF38="","",'Données brutes'!AF38)</f>
        <v>2</v>
      </c>
      <c r="J38" s="2" t="n">
        <f aca="false">IF('Données brutes'!AG38="","",6-'Données brutes'!AG38)</f>
        <v>5</v>
      </c>
      <c r="K38" s="2" t="n">
        <f aca="false">IF('Données brutes'!AO38="","",'Données brutes'!AO38)</f>
        <v>4</v>
      </c>
      <c r="L38" s="2" t="n">
        <f aca="false">IF('Données brutes'!AP38="","",6-'Données brutes'!AP38)</f>
        <v>2</v>
      </c>
      <c r="M38" s="2" t="n">
        <f aca="false">IF('Données brutes'!AQ38="","",'Données brutes'!AQ38)</f>
        <v>3</v>
      </c>
      <c r="N38" s="2" t="n">
        <f aca="false">IF('Données brutes'!AR38="","",'Données brutes'!AR38)</f>
        <v>1</v>
      </c>
      <c r="O38" s="2" t="n">
        <f aca="false">IF('Données brutes'!AS38="","",'Données brutes'!AS38)</f>
        <v>5</v>
      </c>
      <c r="P38" s="2" t="n">
        <f aca="false">IF('Données brutes'!AT38="","",'Données brutes'!AT38)</f>
        <v>5</v>
      </c>
      <c r="Q38" s="2" t="n">
        <f aca="false">IF('Données brutes'!AU38="","",'Données brutes'!AU38)</f>
        <v>4</v>
      </c>
      <c r="R38" s="2" t="n">
        <f aca="false">IF('Données brutes'!BC38="","",'Données brutes'!BC38)</f>
        <v>5</v>
      </c>
      <c r="S38" s="2" t="n">
        <f aca="false">IF('Données brutes'!BD38="","",'Données brutes'!BD38)</f>
        <v>3</v>
      </c>
      <c r="T38" s="2" t="n">
        <f aca="false">IF('Données brutes'!BE38="","",'Données brutes'!BE38)</f>
        <v>4</v>
      </c>
      <c r="U38" s="2" t="n">
        <f aca="false">IF('Données brutes'!BF38="","",'Données brutes'!BF38)</f>
        <v>3</v>
      </c>
      <c r="V38" s="2" t="n">
        <f aca="false">IF('Données brutes'!BG38="","",6-'Données brutes'!BG38)</f>
        <v>2</v>
      </c>
      <c r="W38" s="2" t="n">
        <f aca="false">IF('Données brutes'!BH38="","",'Données brutes'!BH38)</f>
        <v>5</v>
      </c>
      <c r="X38" s="2" t="n">
        <f aca="false">IF('Données brutes'!BI38="","",'Données brutes'!BI38)</f>
        <v>5</v>
      </c>
      <c r="Y38" s="2" t="str">
        <f aca="false">IF('Données brutes'!BJ38="","",'Données brutes'!BJ38)</f>
        <v/>
      </c>
      <c r="Z38" s="2" t="n">
        <f aca="false">IF('Données brutes'!BK38="","",6-'Données brutes'!BK38)</f>
        <v>4</v>
      </c>
      <c r="AA38" s="2" t="n">
        <f aca="false">IF('Données brutes'!BL38="","",6-'Données brutes'!BL38)</f>
        <v>1</v>
      </c>
      <c r="AB38" s="2" t="n">
        <f aca="false">IF('Données brutes'!BM38="","",6-'Données brutes'!BM38)</f>
        <v>1</v>
      </c>
      <c r="AC38" s="2" t="n">
        <f aca="false">IF('Données brutes'!BN38="","",6-'Données brutes'!BN38)</f>
        <v>3</v>
      </c>
      <c r="AD38" s="2" t="n">
        <f aca="false">IF('Données brutes'!BO38="","",6-'Données brutes'!BO38)</f>
        <v>4</v>
      </c>
      <c r="AE38" s="2" t="n">
        <f aca="false">IF('Données brutes'!BP38="","",6-'Données brutes'!BP38)</f>
        <v>1</v>
      </c>
      <c r="AF38" s="2" t="n">
        <f aca="false">IF('Données brutes'!BQ38="","",6-'Données brutes'!BQ38)</f>
        <v>2</v>
      </c>
      <c r="AG38" s="2" t="n">
        <f aca="false">IF('Données brutes'!BR38="","",'Données brutes'!BR38)</f>
        <v>1</v>
      </c>
      <c r="AH38" s="2" t="n">
        <f aca="false">IF('Données brutes'!BS38="","",'Données brutes'!BS38)</f>
        <v>3</v>
      </c>
      <c r="AI38" s="2" t="n">
        <f aca="false">IF('Données brutes'!BT38="","",'Données brutes'!BT38)</f>
        <v>5</v>
      </c>
      <c r="AJ38" s="2" t="n">
        <f aca="false">IF('Données brutes'!BU38="","",'Données brutes'!BU38)</f>
        <v>3</v>
      </c>
      <c r="AK38" s="2" t="n">
        <f aca="false">IF('Données brutes'!BV38="","",'Données brutes'!BV38)</f>
        <v>4</v>
      </c>
      <c r="AL38" s="2" t="n">
        <f aca="false">IF('Données brutes'!BW38="","",'Données brutes'!BW38)</f>
        <v>4</v>
      </c>
      <c r="AM38" s="2" t="n">
        <f aca="false">IF('Données brutes'!BX38="","",'Données brutes'!BX38)</f>
        <v>4</v>
      </c>
      <c r="AN38" s="2" t="n">
        <f aca="false">IF('Données brutes'!BY38="","",'Données brutes'!BY38)</f>
        <v>4</v>
      </c>
      <c r="AO38" s="2" t="n">
        <f aca="false">IF('Données brutes'!BZ38="","",'Données brutes'!BZ38)</f>
        <v>3</v>
      </c>
      <c r="AP38" s="2" t="n">
        <f aca="false">IF('Données brutes'!CG38="","",'Données brutes'!CG38)</f>
        <v>4</v>
      </c>
      <c r="AQ38" s="2" t="n">
        <f aca="false">IF('Données brutes'!CH38="","",'Données brutes'!CH38)</f>
        <v>5</v>
      </c>
      <c r="AR38" s="2" t="n">
        <f aca="false">IF('Données brutes'!CI38="","",'Données brutes'!CI38)</f>
        <v>4</v>
      </c>
      <c r="AS38" s="2" t="n">
        <f aca="false">IF('Données brutes'!CJ38="","",'Données brutes'!CJ38)</f>
        <v>4</v>
      </c>
      <c r="AT38" s="4" t="n">
        <f aca="false">IFERROR(AVERAGE(B38:D38),"")</f>
        <v>3</v>
      </c>
      <c r="AU38" s="4" t="n">
        <f aca="false">IFERROR(AVERAGE(E38:J38),"")</f>
        <v>3</v>
      </c>
      <c r="AV38" s="4" t="n">
        <f aca="false">IFERROR(AVERAGE(K38:Q38),"")</f>
        <v>3.42857142857143</v>
      </c>
      <c r="AW38" s="4" t="n">
        <f aca="false">IFERROR(AVERAGE(R38:Y38),"")</f>
        <v>3.85714285714286</v>
      </c>
      <c r="AX38" s="4" t="n">
        <f aca="false">IFERROR(AVERAGE(Z38:AF38),"")</f>
        <v>2.28571428571429</v>
      </c>
      <c r="AY38" s="4" t="n">
        <f aca="false">IFERROR(AVERAGE(AG38:AJ38),"")</f>
        <v>3</v>
      </c>
      <c r="AZ38" s="4" t="n">
        <f aca="false">IFERROR(AVERAGE(AK38:AO38),"")</f>
        <v>3.8</v>
      </c>
      <c r="BA38" s="4" t="n">
        <f aca="false">IFERROR(AVERAGE(AP38:AS38),"")</f>
        <v>4.25</v>
      </c>
      <c r="BB38" s="4" t="n">
        <f aca="false">IFERROR(AVERAGE(B38:AS38),"")</f>
        <v>3.30232558139535</v>
      </c>
    </row>
    <row r="39" customFormat="false" ht="15" hidden="false" customHeight="false" outlineLevel="0" collapsed="false">
      <c r="A39" s="2" t="n">
        <f aca="false">'Données brutes'!A39</f>
        <v>38</v>
      </c>
      <c r="B39" s="2" t="n">
        <f aca="false">IF('Données brutes'!Y39="","",'Données brutes'!Y39)</f>
        <v>1</v>
      </c>
      <c r="C39" s="2" t="n">
        <f aca="false">IF('Données brutes'!Z39="","",6-'Données brutes'!Z39)</f>
        <v>4</v>
      </c>
      <c r="D39" s="2" t="n">
        <f aca="false">IF('Données brutes'!AA39="","",'Données brutes'!AA39)</f>
        <v>2</v>
      </c>
      <c r="E39" s="2" t="n">
        <f aca="false">IF('Données brutes'!AB39="","",'Données brutes'!AB39)</f>
        <v>3</v>
      </c>
      <c r="F39" s="2" t="n">
        <f aca="false">IF('Données brutes'!AC39="","",6-'Données brutes'!AC39)</f>
        <v>3</v>
      </c>
      <c r="G39" s="2" t="n">
        <f aca="false">IF('Données brutes'!AD39="","",6-'Données brutes'!AD39)</f>
        <v>1</v>
      </c>
      <c r="H39" s="2" t="n">
        <f aca="false">IF('Données brutes'!AE39="","",'Données brutes'!AE39)</f>
        <v>4</v>
      </c>
      <c r="I39" s="2" t="n">
        <f aca="false">IF('Données brutes'!AF39="","",'Données brutes'!AF39)</f>
        <v>1</v>
      </c>
      <c r="J39" s="2" t="n">
        <f aca="false">IF('Données brutes'!AG39="","",6-'Données brutes'!AG39)</f>
        <v>4</v>
      </c>
      <c r="K39" s="2" t="n">
        <f aca="false">IF('Données brutes'!AO39="","",'Données brutes'!AO39)</f>
        <v>4</v>
      </c>
      <c r="L39" s="2" t="n">
        <f aca="false">IF('Données brutes'!AP39="","",6-'Données brutes'!AP39)</f>
        <v>5</v>
      </c>
      <c r="M39" s="2" t="n">
        <f aca="false">IF('Données brutes'!AQ39="","",'Données brutes'!AQ39)</f>
        <v>5</v>
      </c>
      <c r="N39" s="2" t="n">
        <f aca="false">IF('Données brutes'!AR39="","",'Données brutes'!AR39)</f>
        <v>4</v>
      </c>
      <c r="O39" s="2" t="n">
        <f aca="false">IF('Données brutes'!AS39="","",'Données brutes'!AS39)</f>
        <v>4</v>
      </c>
      <c r="P39" s="2" t="n">
        <f aca="false">IF('Données brutes'!AT39="","",'Données brutes'!AT39)</f>
        <v>3</v>
      </c>
      <c r="Q39" s="2" t="n">
        <f aca="false">IF('Données brutes'!AU39="","",'Données brutes'!AU39)</f>
        <v>4</v>
      </c>
      <c r="R39" s="2" t="n">
        <f aca="false">IF('Données brutes'!BC39="","",'Données brutes'!BC39)</f>
        <v>1</v>
      </c>
      <c r="S39" s="2" t="n">
        <f aca="false">IF('Données brutes'!BD39="","",'Données brutes'!BD39)</f>
        <v>2</v>
      </c>
      <c r="T39" s="2" t="n">
        <f aca="false">IF('Données brutes'!BE39="","",'Données brutes'!BE39)</f>
        <v>4</v>
      </c>
      <c r="U39" s="2" t="n">
        <f aca="false">IF('Données brutes'!BF39="","",'Données brutes'!BF39)</f>
        <v>4</v>
      </c>
      <c r="V39" s="2" t="n">
        <f aca="false">IF('Données brutes'!BG39="","",6-'Données brutes'!BG39)</f>
        <v>3</v>
      </c>
      <c r="W39" s="2" t="n">
        <f aca="false">IF('Données brutes'!BH39="","",'Données brutes'!BH39)</f>
        <v>3</v>
      </c>
      <c r="X39" s="2" t="n">
        <f aca="false">IF('Données brutes'!BI39="","",'Données brutes'!BI39)</f>
        <v>3</v>
      </c>
      <c r="Y39" s="2" t="n">
        <f aca="false">IF('Données brutes'!BJ39="","",'Données brutes'!BJ39)</f>
        <v>5</v>
      </c>
      <c r="Z39" s="2" t="n">
        <f aca="false">IF('Données brutes'!BK39="","",6-'Données brutes'!BK39)</f>
        <v>3</v>
      </c>
      <c r="AA39" s="2" t="n">
        <f aca="false">IF('Données brutes'!BL39="","",6-'Données brutes'!BL39)</f>
        <v>1</v>
      </c>
      <c r="AB39" s="2" t="n">
        <f aca="false">IF('Données brutes'!BM39="","",6-'Données brutes'!BM39)</f>
        <v>2</v>
      </c>
      <c r="AC39" s="2" t="n">
        <f aca="false">IF('Données brutes'!BN39="","",6-'Données brutes'!BN39)</f>
        <v>4</v>
      </c>
      <c r="AD39" s="2" t="n">
        <f aca="false">IF('Données brutes'!BO39="","",6-'Données brutes'!BO39)</f>
        <v>1</v>
      </c>
      <c r="AE39" s="2" t="n">
        <f aca="false">IF('Données brutes'!BP39="","",6-'Données brutes'!BP39)</f>
        <v>4</v>
      </c>
      <c r="AF39" s="2" t="n">
        <f aca="false">IF('Données brutes'!BQ39="","",6-'Données brutes'!BQ39)</f>
        <v>4</v>
      </c>
      <c r="AG39" s="2" t="n">
        <f aca="false">IF('Données brutes'!BR39="","",'Données brutes'!BR39)</f>
        <v>3</v>
      </c>
      <c r="AH39" s="2" t="str">
        <f aca="false">IF('Données brutes'!BS39="","",'Données brutes'!BS39)</f>
        <v/>
      </c>
      <c r="AI39" s="2" t="n">
        <f aca="false">IF('Données brutes'!BT39="","",'Données brutes'!BT39)</f>
        <v>3</v>
      </c>
      <c r="AJ39" s="2" t="n">
        <f aca="false">IF('Données brutes'!BU39="","",'Données brutes'!BU39)</f>
        <v>5</v>
      </c>
      <c r="AK39" s="2" t="n">
        <f aca="false">IF('Données brutes'!BV39="","",'Données brutes'!BV39)</f>
        <v>1</v>
      </c>
      <c r="AL39" s="2" t="n">
        <f aca="false">IF('Données brutes'!BW39="","",'Données brutes'!BW39)</f>
        <v>3</v>
      </c>
      <c r="AM39" s="2" t="n">
        <f aca="false">IF('Données brutes'!BX39="","",'Données brutes'!BX39)</f>
        <v>3</v>
      </c>
      <c r="AN39" s="2" t="n">
        <f aca="false">IF('Données brutes'!BY39="","",'Données brutes'!BY39)</f>
        <v>4</v>
      </c>
      <c r="AO39" s="2" t="n">
        <f aca="false">IF('Données brutes'!BZ39="","",'Données brutes'!BZ39)</f>
        <v>3</v>
      </c>
      <c r="AP39" s="2" t="n">
        <f aca="false">IF('Données brutes'!CG39="","",'Données brutes'!CG39)</f>
        <v>5</v>
      </c>
      <c r="AQ39" s="2" t="n">
        <f aca="false">IF('Données brutes'!CH39="","",'Données brutes'!CH39)</f>
        <v>3</v>
      </c>
      <c r="AR39" s="2" t="str">
        <f aca="false">IF('Données brutes'!CI39="","",'Données brutes'!CI39)</f>
        <v/>
      </c>
      <c r="AS39" s="2" t="n">
        <f aca="false">IF('Données brutes'!CJ39="","",'Données brutes'!CJ39)</f>
        <v>4</v>
      </c>
      <c r="AT39" s="4" t="n">
        <f aca="false">IFERROR(AVERAGE(B39:D39),"")</f>
        <v>2.33333333333333</v>
      </c>
      <c r="AU39" s="4" t="n">
        <f aca="false">IFERROR(AVERAGE(E39:J39),"")</f>
        <v>2.66666666666667</v>
      </c>
      <c r="AV39" s="4" t="n">
        <f aca="false">IFERROR(AVERAGE(K39:Q39),"")</f>
        <v>4.14285714285714</v>
      </c>
      <c r="AW39" s="4" t="n">
        <f aca="false">IFERROR(AVERAGE(R39:Y39),"")</f>
        <v>3.125</v>
      </c>
      <c r="AX39" s="4" t="n">
        <f aca="false">IFERROR(AVERAGE(Z39:AF39),"")</f>
        <v>2.71428571428571</v>
      </c>
      <c r="AY39" s="4" t="n">
        <f aca="false">IFERROR(AVERAGE(AG39:AJ39),"")</f>
        <v>3.66666666666667</v>
      </c>
      <c r="AZ39" s="4" t="n">
        <f aca="false">IFERROR(AVERAGE(AK39:AO39),"")</f>
        <v>2.8</v>
      </c>
      <c r="BA39" s="4" t="n">
        <f aca="false">IFERROR(AVERAGE(AP39:AS39),"")</f>
        <v>4</v>
      </c>
      <c r="BB39" s="4" t="n">
        <f aca="false">IFERROR(AVERAGE(B39:AS39),"")</f>
        <v>3.16666666666667</v>
      </c>
    </row>
    <row r="40" customFormat="false" ht="15" hidden="false" customHeight="false" outlineLevel="0" collapsed="false">
      <c r="A40" s="2" t="n">
        <f aca="false">'Données brutes'!A40</f>
        <v>39</v>
      </c>
      <c r="B40" s="2" t="str">
        <f aca="false">IF('Données brutes'!Y40="","",'Données brutes'!Y40)</f>
        <v/>
      </c>
      <c r="C40" s="2" t="str">
        <f aca="false">IF('Données brutes'!Z40="","",6-'Données brutes'!Z40)</f>
        <v/>
      </c>
      <c r="D40" s="2" t="str">
        <f aca="false">IF('Données brutes'!AA40="","",'Données brutes'!AA40)</f>
        <v/>
      </c>
      <c r="E40" s="2" t="n">
        <f aca="false">IF('Données brutes'!AB40="","",'Données brutes'!AB40)</f>
        <v>3</v>
      </c>
      <c r="F40" s="2" t="n">
        <f aca="false">IF('Données brutes'!AC40="","",6-'Données brutes'!AC40)</f>
        <v>2</v>
      </c>
      <c r="G40" s="2" t="n">
        <f aca="false">IF('Données brutes'!AD40="","",6-'Données brutes'!AD40)</f>
        <v>2</v>
      </c>
      <c r="H40" s="2" t="n">
        <f aca="false">IF('Données brutes'!AE40="","",'Données brutes'!AE40)</f>
        <v>2</v>
      </c>
      <c r="I40" s="2" t="n">
        <f aca="false">IF('Données brutes'!AF40="","",'Données brutes'!AF40)</f>
        <v>2</v>
      </c>
      <c r="J40" s="2" t="n">
        <f aca="false">IF('Données brutes'!AG40="","",6-'Données brutes'!AG40)</f>
        <v>2</v>
      </c>
      <c r="K40" s="2" t="n">
        <f aca="false">IF('Données brutes'!AO40="","",'Données brutes'!AO40)</f>
        <v>4</v>
      </c>
      <c r="L40" s="2" t="n">
        <f aca="false">IF('Données brutes'!AP40="","",6-'Données brutes'!AP40)</f>
        <v>2</v>
      </c>
      <c r="M40" s="2" t="n">
        <f aca="false">IF('Données brutes'!AQ40="","",'Données brutes'!AQ40)</f>
        <v>2</v>
      </c>
      <c r="N40" s="2" t="n">
        <f aca="false">IF('Données brutes'!AR40="","",'Données brutes'!AR40)</f>
        <v>1</v>
      </c>
      <c r="O40" s="2" t="n">
        <f aca="false">IF('Données brutes'!AS40="","",'Données brutes'!AS40)</f>
        <v>3</v>
      </c>
      <c r="P40" s="2" t="n">
        <f aca="false">IF('Données brutes'!AT40="","",'Données brutes'!AT40)</f>
        <v>4</v>
      </c>
      <c r="Q40" s="2" t="n">
        <f aca="false">IF('Données brutes'!AU40="","",'Données brutes'!AU40)</f>
        <v>4</v>
      </c>
      <c r="R40" s="2" t="n">
        <f aca="false">IF('Données brutes'!BC40="","",'Données brutes'!BC40)</f>
        <v>4</v>
      </c>
      <c r="S40" s="2" t="n">
        <f aca="false">IF('Données brutes'!BD40="","",'Données brutes'!BD40)</f>
        <v>3</v>
      </c>
      <c r="T40" s="2" t="n">
        <f aca="false">IF('Données brutes'!BE40="","",'Données brutes'!BE40)</f>
        <v>2</v>
      </c>
      <c r="U40" s="2" t="str">
        <f aca="false">IF('Données brutes'!BF40="","",'Données brutes'!BF40)</f>
        <v/>
      </c>
      <c r="V40" s="2" t="n">
        <f aca="false">IF('Données brutes'!BG40="","",6-'Données brutes'!BG40)</f>
        <v>4</v>
      </c>
      <c r="W40" s="2" t="n">
        <f aca="false">IF('Données brutes'!BH40="","",'Données brutes'!BH40)</f>
        <v>3</v>
      </c>
      <c r="X40" s="2" t="str">
        <f aca="false">IF('Données brutes'!BI40="","",'Données brutes'!BI40)</f>
        <v/>
      </c>
      <c r="Y40" s="2" t="n">
        <f aca="false">IF('Données brutes'!BJ40="","",'Données brutes'!BJ40)</f>
        <v>3</v>
      </c>
      <c r="Z40" s="2" t="n">
        <f aca="false">IF('Données brutes'!BK40="","",6-'Données brutes'!BK40)</f>
        <v>3</v>
      </c>
      <c r="AA40" s="2" t="n">
        <f aca="false">IF('Données brutes'!BL40="","",6-'Données brutes'!BL40)</f>
        <v>4</v>
      </c>
      <c r="AB40" s="2" t="n">
        <f aca="false">IF('Données brutes'!BM40="","",6-'Données brutes'!BM40)</f>
        <v>4</v>
      </c>
      <c r="AC40" s="2" t="n">
        <f aca="false">IF('Données brutes'!BN40="","",6-'Données brutes'!BN40)</f>
        <v>3</v>
      </c>
      <c r="AD40" s="2" t="n">
        <f aca="false">IF('Données brutes'!BO40="","",6-'Données brutes'!BO40)</f>
        <v>3</v>
      </c>
      <c r="AE40" s="2" t="n">
        <f aca="false">IF('Données brutes'!BP40="","",6-'Données brutes'!BP40)</f>
        <v>1</v>
      </c>
      <c r="AF40" s="2" t="n">
        <f aca="false">IF('Données brutes'!BQ40="","",6-'Données brutes'!BQ40)</f>
        <v>3</v>
      </c>
      <c r="AG40" s="2" t="n">
        <f aca="false">IF('Données brutes'!BR40="","",'Données brutes'!BR40)</f>
        <v>3</v>
      </c>
      <c r="AH40" s="2" t="n">
        <f aca="false">IF('Données brutes'!BS40="","",'Données brutes'!BS40)</f>
        <v>4</v>
      </c>
      <c r="AI40" s="2" t="n">
        <f aca="false">IF('Données brutes'!BT40="","",'Données brutes'!BT40)</f>
        <v>3</v>
      </c>
      <c r="AJ40" s="2" t="n">
        <f aca="false">IF('Données brutes'!BU40="","",'Données brutes'!BU40)</f>
        <v>2</v>
      </c>
      <c r="AK40" s="2" t="n">
        <f aca="false">IF('Données brutes'!BV40="","",'Données brutes'!BV40)</f>
        <v>3</v>
      </c>
      <c r="AL40" s="2" t="n">
        <f aca="false">IF('Données brutes'!BW40="","",'Données brutes'!BW40)</f>
        <v>4</v>
      </c>
      <c r="AM40" s="2" t="n">
        <f aca="false">IF('Données brutes'!BX40="","",'Données brutes'!BX40)</f>
        <v>5</v>
      </c>
      <c r="AN40" s="2" t="n">
        <f aca="false">IF('Données brutes'!BY40="","",'Données brutes'!BY40)</f>
        <v>3</v>
      </c>
      <c r="AO40" s="2" t="n">
        <f aca="false">IF('Données brutes'!BZ40="","",'Données brutes'!BZ40)</f>
        <v>1</v>
      </c>
      <c r="AP40" s="2" t="n">
        <f aca="false">IF('Données brutes'!CG40="","",'Données brutes'!CG40)</f>
        <v>3</v>
      </c>
      <c r="AQ40" s="2" t="n">
        <f aca="false">IF('Données brutes'!CH40="","",'Données brutes'!CH40)</f>
        <v>3</v>
      </c>
      <c r="AR40" s="2" t="n">
        <f aca="false">IF('Données brutes'!CI40="","",'Données brutes'!CI40)</f>
        <v>2</v>
      </c>
      <c r="AS40" s="2" t="n">
        <f aca="false">IF('Données brutes'!CJ40="","",'Données brutes'!CJ40)</f>
        <v>4</v>
      </c>
      <c r="AT40" s="4" t="str">
        <f aca="false">IFERROR(AVERAGE(B40:D40),"")</f>
        <v/>
      </c>
      <c r="AU40" s="4" t="n">
        <f aca="false">IFERROR(AVERAGE(E40:J40),"")</f>
        <v>2.16666666666667</v>
      </c>
      <c r="AV40" s="4" t="n">
        <f aca="false">IFERROR(AVERAGE(K40:Q40),"")</f>
        <v>2.85714285714286</v>
      </c>
      <c r="AW40" s="4" t="n">
        <f aca="false">IFERROR(AVERAGE(R40:Y40),"")</f>
        <v>3.16666666666667</v>
      </c>
      <c r="AX40" s="4" t="n">
        <f aca="false">IFERROR(AVERAGE(Z40:AF40),"")</f>
        <v>3</v>
      </c>
      <c r="AY40" s="4" t="n">
        <f aca="false">IFERROR(AVERAGE(AG40:AJ40),"")</f>
        <v>3</v>
      </c>
      <c r="AZ40" s="4" t="n">
        <f aca="false">IFERROR(AVERAGE(AK40:AO40),"")</f>
        <v>3.2</v>
      </c>
      <c r="BA40" s="4" t="n">
        <f aca="false">IFERROR(AVERAGE(AP40:AS40),"")</f>
        <v>3</v>
      </c>
      <c r="BB40" s="4" t="n">
        <f aca="false">IFERROR(AVERAGE(B40:AS40),"")</f>
        <v>2.8974358974359</v>
      </c>
    </row>
    <row r="41" customFormat="false" ht="15" hidden="false" customHeight="false" outlineLevel="0" collapsed="false">
      <c r="A41" s="2" t="n">
        <f aca="false">'Données brutes'!A41</f>
        <v>40</v>
      </c>
      <c r="B41" s="2" t="str">
        <f aca="false">IF('Données brutes'!Y41="","",'Données brutes'!Y41)</f>
        <v/>
      </c>
      <c r="C41" s="2" t="str">
        <f aca="false">IF('Données brutes'!Z41="","",6-'Données brutes'!Z41)</f>
        <v/>
      </c>
      <c r="D41" s="2" t="str">
        <f aca="false">IF('Données brutes'!AA41="","",'Données brutes'!AA41)</f>
        <v/>
      </c>
      <c r="E41" s="2" t="n">
        <f aca="false">IF('Données brutes'!AB41="","",'Données brutes'!AB41)</f>
        <v>4</v>
      </c>
      <c r="F41" s="2" t="n">
        <f aca="false">IF('Données brutes'!AC41="","",6-'Données brutes'!AC41)</f>
        <v>1</v>
      </c>
      <c r="G41" s="2" t="n">
        <f aca="false">IF('Données brutes'!AD41="","",6-'Données brutes'!AD41)</f>
        <v>3</v>
      </c>
      <c r="H41" s="2" t="n">
        <f aca="false">IF('Données brutes'!AE41="","",'Données brutes'!AE41)</f>
        <v>5</v>
      </c>
      <c r="I41" s="2" t="n">
        <f aca="false">IF('Données brutes'!AF41="","",'Données brutes'!AF41)</f>
        <v>3</v>
      </c>
      <c r="J41" s="2" t="n">
        <f aca="false">IF('Données brutes'!AG41="","",6-'Données brutes'!AG41)</f>
        <v>1</v>
      </c>
      <c r="K41" s="2" t="n">
        <f aca="false">IF('Données brutes'!AO41="","",'Données brutes'!AO41)</f>
        <v>4</v>
      </c>
      <c r="L41" s="2" t="n">
        <f aca="false">IF('Données brutes'!AP41="","",6-'Données brutes'!AP41)</f>
        <v>2</v>
      </c>
      <c r="M41" s="2" t="n">
        <f aca="false">IF('Données brutes'!AQ41="","",'Données brutes'!AQ41)</f>
        <v>3</v>
      </c>
      <c r="N41" s="2" t="n">
        <f aca="false">IF('Données brutes'!AR41="","",'Données brutes'!AR41)</f>
        <v>5</v>
      </c>
      <c r="O41" s="2" t="n">
        <f aca="false">IF('Données brutes'!AS41="","",'Données brutes'!AS41)</f>
        <v>3</v>
      </c>
      <c r="P41" s="2" t="n">
        <f aca="false">IF('Données brutes'!AT41="","",'Données brutes'!AT41)</f>
        <v>5</v>
      </c>
      <c r="Q41" s="2" t="n">
        <f aca="false">IF('Données brutes'!AU41="","",'Données brutes'!AU41)</f>
        <v>3</v>
      </c>
      <c r="R41" s="2" t="n">
        <f aca="false">IF('Données brutes'!BC41="","",'Données brutes'!BC41)</f>
        <v>3</v>
      </c>
      <c r="S41" s="2" t="n">
        <f aca="false">IF('Données brutes'!BD41="","",'Données brutes'!BD41)</f>
        <v>4</v>
      </c>
      <c r="T41" s="2" t="n">
        <f aca="false">IF('Données brutes'!BE41="","",'Données brutes'!BE41)</f>
        <v>3</v>
      </c>
      <c r="U41" s="2" t="str">
        <f aca="false">IF('Données brutes'!BF41="","",'Données brutes'!BF41)</f>
        <v/>
      </c>
      <c r="V41" s="2" t="n">
        <f aca="false">IF('Données brutes'!BG41="","",6-'Données brutes'!BG41)</f>
        <v>5</v>
      </c>
      <c r="W41" s="2" t="n">
        <f aca="false">IF('Données brutes'!BH41="","",'Données brutes'!BH41)</f>
        <v>1</v>
      </c>
      <c r="X41" s="2" t="n">
        <f aca="false">IF('Données brutes'!BI41="","",'Données brutes'!BI41)</f>
        <v>4</v>
      </c>
      <c r="Y41" s="2" t="n">
        <f aca="false">IF('Données brutes'!BJ41="","",'Données brutes'!BJ41)</f>
        <v>2</v>
      </c>
      <c r="Z41" s="2" t="n">
        <f aca="false">IF('Données brutes'!BK41="","",6-'Données brutes'!BK41)</f>
        <v>2</v>
      </c>
      <c r="AA41" s="2" t="n">
        <f aca="false">IF('Données brutes'!BL41="","",6-'Données brutes'!BL41)</f>
        <v>5</v>
      </c>
      <c r="AB41" s="2" t="n">
        <f aca="false">IF('Données brutes'!BM41="","",6-'Données brutes'!BM41)</f>
        <v>3</v>
      </c>
      <c r="AC41" s="2" t="n">
        <f aca="false">IF('Données brutes'!BN41="","",6-'Données brutes'!BN41)</f>
        <v>4</v>
      </c>
      <c r="AD41" s="2" t="n">
        <f aca="false">IF('Données brutes'!BO41="","",6-'Données brutes'!BO41)</f>
        <v>2</v>
      </c>
      <c r="AE41" s="2" t="str">
        <f aca="false">IF('Données brutes'!BP41="","",6-'Données brutes'!BP41)</f>
        <v/>
      </c>
      <c r="AF41" s="2" t="n">
        <f aca="false">IF('Données brutes'!BQ41="","",6-'Données brutes'!BQ41)</f>
        <v>2</v>
      </c>
      <c r="AG41" s="2" t="n">
        <f aca="false">IF('Données brutes'!BR41="","",'Données brutes'!BR41)</f>
        <v>4</v>
      </c>
      <c r="AH41" s="2" t="n">
        <f aca="false">IF('Données brutes'!BS41="","",'Données brutes'!BS41)</f>
        <v>5</v>
      </c>
      <c r="AI41" s="2" t="n">
        <f aca="false">IF('Données brutes'!BT41="","",'Données brutes'!BT41)</f>
        <v>3</v>
      </c>
      <c r="AJ41" s="2" t="n">
        <f aca="false">IF('Données brutes'!BU41="","",'Données brutes'!BU41)</f>
        <v>3</v>
      </c>
      <c r="AK41" s="2" t="n">
        <f aca="false">IF('Données brutes'!BV41="","",'Données brutes'!BV41)</f>
        <v>5</v>
      </c>
      <c r="AL41" s="2" t="n">
        <f aca="false">IF('Données brutes'!BW41="","",'Données brutes'!BW41)</f>
        <v>4</v>
      </c>
      <c r="AM41" s="2" t="n">
        <f aca="false">IF('Données brutes'!BX41="","",'Données brutes'!BX41)</f>
        <v>4</v>
      </c>
      <c r="AN41" s="2" t="n">
        <f aca="false">IF('Données brutes'!BY41="","",'Données brutes'!BY41)</f>
        <v>3</v>
      </c>
      <c r="AO41" s="2" t="n">
        <f aca="false">IF('Données brutes'!BZ41="","",'Données brutes'!BZ41)</f>
        <v>1</v>
      </c>
      <c r="AP41" s="2" t="n">
        <f aca="false">IF('Données brutes'!CG41="","",'Données brutes'!CG41)</f>
        <v>2</v>
      </c>
      <c r="AQ41" s="2" t="n">
        <f aca="false">IF('Données brutes'!CH41="","",'Données brutes'!CH41)</f>
        <v>5</v>
      </c>
      <c r="AR41" s="2" t="n">
        <f aca="false">IF('Données brutes'!CI41="","",'Données brutes'!CI41)</f>
        <v>3</v>
      </c>
      <c r="AS41" s="2" t="n">
        <f aca="false">IF('Données brutes'!CJ41="","",'Données brutes'!CJ41)</f>
        <v>3</v>
      </c>
      <c r="AT41" s="4" t="str">
        <f aca="false">IFERROR(AVERAGE(B41:D41),"")</f>
        <v/>
      </c>
      <c r="AU41" s="4" t="n">
        <f aca="false">IFERROR(AVERAGE(E41:J41),"")</f>
        <v>2.83333333333333</v>
      </c>
      <c r="AV41" s="4" t="n">
        <f aca="false">IFERROR(AVERAGE(K41:Q41),"")</f>
        <v>3.57142857142857</v>
      </c>
      <c r="AW41" s="4" t="n">
        <f aca="false">IFERROR(AVERAGE(R41:Y41),"")</f>
        <v>3.14285714285714</v>
      </c>
      <c r="AX41" s="4" t="n">
        <f aca="false">IFERROR(AVERAGE(Z41:AF41),"")</f>
        <v>3</v>
      </c>
      <c r="AY41" s="4" t="n">
        <f aca="false">IFERROR(AVERAGE(AG41:AJ41),"")</f>
        <v>3.75</v>
      </c>
      <c r="AZ41" s="4" t="n">
        <f aca="false">IFERROR(AVERAGE(AK41:AO41),"")</f>
        <v>3.4</v>
      </c>
      <c r="BA41" s="4" t="n">
        <f aca="false">IFERROR(AVERAGE(AP41:AS41),"")</f>
        <v>3.25</v>
      </c>
      <c r="BB41" s="4" t="n">
        <f aca="false">IFERROR(AVERAGE(B41:AS41),"")</f>
        <v>3.25641025641026</v>
      </c>
    </row>
    <row r="42" customFormat="false" ht="15" hidden="false" customHeight="false" outlineLevel="0" collapsed="false">
      <c r="A42" s="2" t="n">
        <f aca="false">'Données brutes'!A42</f>
        <v>41</v>
      </c>
      <c r="B42" s="2" t="n">
        <f aca="false">IF('Données brutes'!Y42="","",'Données brutes'!Y42)</f>
        <v>3</v>
      </c>
      <c r="C42" s="2" t="n">
        <f aca="false">IF('Données brutes'!Z42="","",6-'Données brutes'!Z42)</f>
        <v>2</v>
      </c>
      <c r="D42" s="2" t="n">
        <f aca="false">IF('Données brutes'!AA42="","",'Données brutes'!AA42)</f>
        <v>3</v>
      </c>
      <c r="E42" s="2" t="n">
        <f aca="false">IF('Données brutes'!AB42="","",'Données brutes'!AB42)</f>
        <v>1</v>
      </c>
      <c r="F42" s="2" t="n">
        <f aca="false">IF('Données brutes'!AC42="","",6-'Données brutes'!AC42)</f>
        <v>2</v>
      </c>
      <c r="G42" s="2" t="n">
        <f aca="false">IF('Données brutes'!AD42="","",6-'Données brutes'!AD42)</f>
        <v>2</v>
      </c>
      <c r="H42" s="2" t="n">
        <f aca="false">IF('Données brutes'!AE42="","",'Données brutes'!AE42)</f>
        <v>1</v>
      </c>
      <c r="I42" s="2" t="n">
        <f aca="false">IF('Données brutes'!AF42="","",'Données brutes'!AF42)</f>
        <v>1</v>
      </c>
      <c r="J42" s="2" t="n">
        <f aca="false">IF('Données brutes'!AG42="","",6-'Données brutes'!AG42)</f>
        <v>1</v>
      </c>
      <c r="K42" s="2" t="n">
        <f aca="false">IF('Données brutes'!AO42="","",'Données brutes'!AO42)</f>
        <v>1</v>
      </c>
      <c r="L42" s="2" t="n">
        <f aca="false">IF('Données brutes'!AP42="","",6-'Données brutes'!AP42)</f>
        <v>4</v>
      </c>
      <c r="M42" s="2" t="n">
        <f aca="false">IF('Données brutes'!AQ42="","",'Données brutes'!AQ42)</f>
        <v>2</v>
      </c>
      <c r="N42" s="2" t="n">
        <f aca="false">IF('Données brutes'!AR42="","",'Données brutes'!AR42)</f>
        <v>1</v>
      </c>
      <c r="O42" s="2" t="n">
        <f aca="false">IF('Données brutes'!AS42="","",'Données brutes'!AS42)</f>
        <v>4</v>
      </c>
      <c r="P42" s="2" t="n">
        <f aca="false">IF('Données brutes'!AT42="","",'Données brutes'!AT42)</f>
        <v>3</v>
      </c>
      <c r="Q42" s="2" t="n">
        <f aca="false">IF('Données brutes'!AU42="","",'Données brutes'!AU42)</f>
        <v>1</v>
      </c>
      <c r="R42" s="2" t="n">
        <f aca="false">IF('Données brutes'!BC42="","",'Données brutes'!BC42)</f>
        <v>4</v>
      </c>
      <c r="S42" s="2" t="n">
        <f aca="false">IF('Données brutes'!BD42="","",'Données brutes'!BD42)</f>
        <v>2</v>
      </c>
      <c r="T42" s="2" t="n">
        <f aca="false">IF('Données brutes'!BE42="","",'Données brutes'!BE42)</f>
        <v>2</v>
      </c>
      <c r="U42" s="2" t="n">
        <f aca="false">IF('Données brutes'!BF42="","",'Données brutes'!BF42)</f>
        <v>4</v>
      </c>
      <c r="V42" s="2" t="n">
        <f aca="false">IF('Données brutes'!BG42="","",6-'Données brutes'!BG42)</f>
        <v>5</v>
      </c>
      <c r="W42" s="2" t="n">
        <f aca="false">IF('Données brutes'!BH42="","",'Données brutes'!BH42)</f>
        <v>3</v>
      </c>
      <c r="X42" s="2" t="n">
        <f aca="false">IF('Données brutes'!BI42="","",'Données brutes'!BI42)</f>
        <v>4</v>
      </c>
      <c r="Y42" s="2" t="n">
        <f aca="false">IF('Données brutes'!BJ42="","",'Données brutes'!BJ42)</f>
        <v>4</v>
      </c>
      <c r="Z42" s="2" t="n">
        <f aca="false">IF('Données brutes'!BK42="","",6-'Données brutes'!BK42)</f>
        <v>1</v>
      </c>
      <c r="AA42" s="2" t="n">
        <f aca="false">IF('Données brutes'!BL42="","",6-'Données brutes'!BL42)</f>
        <v>2</v>
      </c>
      <c r="AB42" s="2" t="n">
        <f aca="false">IF('Données brutes'!BM42="","",6-'Données brutes'!BM42)</f>
        <v>3</v>
      </c>
      <c r="AC42" s="2" t="n">
        <f aca="false">IF('Données brutes'!BN42="","",6-'Données brutes'!BN42)</f>
        <v>2</v>
      </c>
      <c r="AD42" s="2" t="n">
        <f aca="false">IF('Données brutes'!BO42="","",6-'Données brutes'!BO42)</f>
        <v>4</v>
      </c>
      <c r="AE42" s="2" t="n">
        <f aca="false">IF('Données brutes'!BP42="","",6-'Données brutes'!BP42)</f>
        <v>3</v>
      </c>
      <c r="AF42" s="2" t="n">
        <f aca="false">IF('Données brutes'!BQ42="","",6-'Données brutes'!BQ42)</f>
        <v>2</v>
      </c>
      <c r="AG42" s="2" t="n">
        <f aca="false">IF('Données brutes'!BR42="","",'Données brutes'!BR42)</f>
        <v>3</v>
      </c>
      <c r="AH42" s="2" t="n">
        <f aca="false">IF('Données brutes'!BS42="","",'Données brutes'!BS42)</f>
        <v>5</v>
      </c>
      <c r="AI42" s="2" t="n">
        <f aca="false">IF('Données brutes'!BT42="","",'Données brutes'!BT42)</f>
        <v>2</v>
      </c>
      <c r="AJ42" s="2" t="n">
        <f aca="false">IF('Données brutes'!BU42="","",'Données brutes'!BU42)</f>
        <v>4</v>
      </c>
      <c r="AK42" s="2" t="n">
        <f aca="false">IF('Données brutes'!BV42="","",'Données brutes'!BV42)</f>
        <v>5</v>
      </c>
      <c r="AL42" s="2" t="n">
        <f aca="false">IF('Données brutes'!BW42="","",'Données brutes'!BW42)</f>
        <v>4</v>
      </c>
      <c r="AM42" s="2" t="n">
        <f aca="false">IF('Données brutes'!BX42="","",'Données brutes'!BX42)</f>
        <v>5</v>
      </c>
      <c r="AN42" s="2" t="n">
        <f aca="false">IF('Données brutes'!BY42="","",'Données brutes'!BY42)</f>
        <v>5</v>
      </c>
      <c r="AO42" s="2" t="str">
        <f aca="false">IF('Données brutes'!BZ42="","",'Données brutes'!BZ42)</f>
        <v/>
      </c>
      <c r="AP42" s="2" t="n">
        <f aca="false">IF('Données brutes'!CG42="","",'Données brutes'!CG42)</f>
        <v>3</v>
      </c>
      <c r="AQ42" s="2" t="n">
        <f aca="false">IF('Données brutes'!CH42="","",'Données brutes'!CH42)</f>
        <v>1</v>
      </c>
      <c r="AR42" s="2" t="n">
        <f aca="false">IF('Données brutes'!CI42="","",'Données brutes'!CI42)</f>
        <v>2</v>
      </c>
      <c r="AS42" s="2" t="n">
        <f aca="false">IF('Données brutes'!CJ42="","",'Données brutes'!CJ42)</f>
        <v>3</v>
      </c>
      <c r="AT42" s="4" t="n">
        <f aca="false">IFERROR(AVERAGE(B42:D42),"")</f>
        <v>2.66666666666667</v>
      </c>
      <c r="AU42" s="4" t="n">
        <f aca="false">IFERROR(AVERAGE(E42:J42),"")</f>
        <v>1.33333333333333</v>
      </c>
      <c r="AV42" s="4" t="n">
        <f aca="false">IFERROR(AVERAGE(K42:Q42),"")</f>
        <v>2.28571428571429</v>
      </c>
      <c r="AW42" s="4" t="n">
        <f aca="false">IFERROR(AVERAGE(R42:Y42),"")</f>
        <v>3.5</v>
      </c>
      <c r="AX42" s="4" t="n">
        <f aca="false">IFERROR(AVERAGE(Z42:AF42),"")</f>
        <v>2.42857142857143</v>
      </c>
      <c r="AY42" s="4" t="n">
        <f aca="false">IFERROR(AVERAGE(AG42:AJ42),"")</f>
        <v>3.5</v>
      </c>
      <c r="AZ42" s="4" t="n">
        <f aca="false">IFERROR(AVERAGE(AK42:AO42),"")</f>
        <v>4.75</v>
      </c>
      <c r="BA42" s="4" t="n">
        <f aca="false">IFERROR(AVERAGE(AP42:AS42),"")</f>
        <v>2.25</v>
      </c>
      <c r="BB42" s="4" t="n">
        <f aca="false">IFERROR(AVERAGE(B42:AS42),"")</f>
        <v>2.76744186046512</v>
      </c>
    </row>
    <row r="43" customFormat="false" ht="15" hidden="false" customHeight="false" outlineLevel="0" collapsed="false">
      <c r="A43" s="2" t="n">
        <f aca="false">'Données brutes'!A43</f>
        <v>42</v>
      </c>
      <c r="B43" s="2" t="n">
        <f aca="false">IF('Données brutes'!Y43="","",'Données brutes'!Y43)</f>
        <v>5</v>
      </c>
      <c r="C43" s="2" t="n">
        <f aca="false">IF('Données brutes'!Z43="","",6-'Données brutes'!Z43)</f>
        <v>2</v>
      </c>
      <c r="D43" s="2" t="n">
        <f aca="false">IF('Données brutes'!AA43="","",'Données brutes'!AA43)</f>
        <v>4</v>
      </c>
      <c r="E43" s="2" t="n">
        <f aca="false">IF('Données brutes'!AB43="","",'Données brutes'!AB43)</f>
        <v>3</v>
      </c>
      <c r="F43" s="2" t="str">
        <f aca="false">IF('Données brutes'!AC43="","",6-'Données brutes'!AC43)</f>
        <v/>
      </c>
      <c r="G43" s="2" t="n">
        <f aca="false">IF('Données brutes'!AD43="","",6-'Données brutes'!AD43)</f>
        <v>4</v>
      </c>
      <c r="H43" s="2" t="n">
        <f aca="false">IF('Données brutes'!AE43="","",'Données brutes'!AE43)</f>
        <v>5</v>
      </c>
      <c r="I43" s="2" t="n">
        <f aca="false">IF('Données brutes'!AF43="","",'Données brutes'!AF43)</f>
        <v>3</v>
      </c>
      <c r="J43" s="2" t="n">
        <f aca="false">IF('Données brutes'!AG43="","",6-'Données brutes'!AG43)</f>
        <v>2</v>
      </c>
      <c r="K43" s="2" t="n">
        <f aca="false">IF('Données brutes'!AO43="","",'Données brutes'!AO43)</f>
        <v>4</v>
      </c>
      <c r="L43" s="2" t="n">
        <f aca="false">IF('Données brutes'!AP43="","",6-'Données brutes'!AP43)</f>
        <v>2</v>
      </c>
      <c r="M43" s="2" t="n">
        <f aca="false">IF('Données brutes'!AQ43="","",'Données brutes'!AQ43)</f>
        <v>5</v>
      </c>
      <c r="N43" s="2" t="n">
        <f aca="false">IF('Données brutes'!AR43="","",'Données brutes'!AR43)</f>
        <v>5</v>
      </c>
      <c r="O43" s="2" t="n">
        <f aca="false">IF('Données brutes'!AS43="","",'Données brutes'!AS43)</f>
        <v>1</v>
      </c>
      <c r="P43" s="2" t="n">
        <f aca="false">IF('Données brutes'!AT43="","",'Données brutes'!AT43)</f>
        <v>3</v>
      </c>
      <c r="Q43" s="2" t="str">
        <f aca="false">IF('Données brutes'!AU43="","",'Données brutes'!AU43)</f>
        <v/>
      </c>
      <c r="R43" s="2" t="n">
        <f aca="false">IF('Données brutes'!BC43="","",'Données brutes'!BC43)</f>
        <v>3</v>
      </c>
      <c r="S43" s="2" t="n">
        <f aca="false">IF('Données brutes'!BD43="","",'Données brutes'!BD43)</f>
        <v>3</v>
      </c>
      <c r="T43" s="2" t="n">
        <f aca="false">IF('Données brutes'!BE43="","",'Données brutes'!BE43)</f>
        <v>3</v>
      </c>
      <c r="U43" s="2" t="n">
        <f aca="false">IF('Données brutes'!BF43="","",'Données brutes'!BF43)</f>
        <v>4</v>
      </c>
      <c r="V43" s="2" t="n">
        <f aca="false">IF('Données brutes'!BG43="","",6-'Données brutes'!BG43)</f>
        <v>4</v>
      </c>
      <c r="W43" s="2" t="n">
        <f aca="false">IF('Données brutes'!BH43="","",'Données brutes'!BH43)</f>
        <v>2</v>
      </c>
      <c r="X43" s="2" t="n">
        <f aca="false">IF('Données brutes'!BI43="","",'Données brutes'!BI43)</f>
        <v>5</v>
      </c>
      <c r="Y43" s="2" t="n">
        <f aca="false">IF('Données brutes'!BJ43="","",'Données brutes'!BJ43)</f>
        <v>3</v>
      </c>
      <c r="Z43" s="2" t="n">
        <f aca="false">IF('Données brutes'!BK43="","",6-'Données brutes'!BK43)</f>
        <v>1</v>
      </c>
      <c r="AA43" s="2" t="n">
        <f aca="false">IF('Données brutes'!BL43="","",6-'Données brutes'!BL43)</f>
        <v>3</v>
      </c>
      <c r="AB43" s="2" t="n">
        <f aca="false">IF('Données brutes'!BM43="","",6-'Données brutes'!BM43)</f>
        <v>2</v>
      </c>
      <c r="AC43" s="2" t="n">
        <f aca="false">IF('Données brutes'!BN43="","",6-'Données brutes'!BN43)</f>
        <v>3</v>
      </c>
      <c r="AD43" s="2" t="n">
        <f aca="false">IF('Données brutes'!BO43="","",6-'Données brutes'!BO43)</f>
        <v>3</v>
      </c>
      <c r="AE43" s="2" t="n">
        <f aca="false">IF('Données brutes'!BP43="","",6-'Données brutes'!BP43)</f>
        <v>4</v>
      </c>
      <c r="AF43" s="2" t="n">
        <f aca="false">IF('Données brutes'!BQ43="","",6-'Données brutes'!BQ43)</f>
        <v>3</v>
      </c>
      <c r="AG43" s="2" t="n">
        <f aca="false">IF('Données brutes'!BR43="","",'Données brutes'!BR43)</f>
        <v>4</v>
      </c>
      <c r="AH43" s="2" t="n">
        <f aca="false">IF('Données brutes'!BS43="","",'Données brutes'!BS43)</f>
        <v>3</v>
      </c>
      <c r="AI43" s="2" t="n">
        <f aca="false">IF('Données brutes'!BT43="","",'Données brutes'!BT43)</f>
        <v>3</v>
      </c>
      <c r="AJ43" s="2" t="n">
        <f aca="false">IF('Données brutes'!BU43="","",'Données brutes'!BU43)</f>
        <v>2</v>
      </c>
      <c r="AK43" s="2" t="n">
        <f aca="false">IF('Données brutes'!BV43="","",'Données brutes'!BV43)</f>
        <v>5</v>
      </c>
      <c r="AL43" s="2" t="n">
        <f aca="false">IF('Données brutes'!BW43="","",'Données brutes'!BW43)</f>
        <v>5</v>
      </c>
      <c r="AM43" s="2" t="n">
        <f aca="false">IF('Données brutes'!BX43="","",'Données brutes'!BX43)</f>
        <v>5</v>
      </c>
      <c r="AN43" s="2" t="n">
        <f aca="false">IF('Données brutes'!BY43="","",'Données brutes'!BY43)</f>
        <v>3</v>
      </c>
      <c r="AO43" s="2" t="n">
        <f aca="false">IF('Données brutes'!BZ43="","",'Données brutes'!BZ43)</f>
        <v>4</v>
      </c>
      <c r="AP43" s="2" t="n">
        <f aca="false">IF('Données brutes'!CG43="","",'Données brutes'!CG43)</f>
        <v>4</v>
      </c>
      <c r="AQ43" s="2" t="n">
        <f aca="false">IF('Données brutes'!CH43="","",'Données brutes'!CH43)</f>
        <v>4</v>
      </c>
      <c r="AR43" s="2" t="n">
        <f aca="false">IF('Données brutes'!CI43="","",'Données brutes'!CI43)</f>
        <v>4</v>
      </c>
      <c r="AS43" s="2" t="n">
        <f aca="false">IF('Données brutes'!CJ43="","",'Données brutes'!CJ43)</f>
        <v>3</v>
      </c>
      <c r="AT43" s="4" t="n">
        <f aca="false">IFERROR(AVERAGE(B43:D43),"")</f>
        <v>3.66666666666667</v>
      </c>
      <c r="AU43" s="4" t="n">
        <f aca="false">IFERROR(AVERAGE(E43:J43),"")</f>
        <v>3.4</v>
      </c>
      <c r="AV43" s="4" t="n">
        <f aca="false">IFERROR(AVERAGE(K43:Q43),"")</f>
        <v>3.33333333333333</v>
      </c>
      <c r="AW43" s="4" t="n">
        <f aca="false">IFERROR(AVERAGE(R43:Y43),"")</f>
        <v>3.375</v>
      </c>
      <c r="AX43" s="4" t="n">
        <f aca="false">IFERROR(AVERAGE(Z43:AF43),"")</f>
        <v>2.71428571428571</v>
      </c>
      <c r="AY43" s="4" t="n">
        <f aca="false">IFERROR(AVERAGE(AG43:AJ43),"")</f>
        <v>3</v>
      </c>
      <c r="AZ43" s="4" t="n">
        <f aca="false">IFERROR(AVERAGE(AK43:AO43),"")</f>
        <v>4.4</v>
      </c>
      <c r="BA43" s="4" t="n">
        <f aca="false">IFERROR(AVERAGE(AP43:AS43),"")</f>
        <v>3.75</v>
      </c>
      <c r="BB43" s="4" t="n">
        <f aca="false">IFERROR(AVERAGE(B43:AS43),"")</f>
        <v>3.4047619047619</v>
      </c>
    </row>
    <row r="44" customFormat="false" ht="15" hidden="false" customHeight="false" outlineLevel="0" collapsed="false">
      <c r="A44" s="2" t="n">
        <f aca="false">'Données brutes'!A44</f>
        <v>43</v>
      </c>
      <c r="B44" s="2" t="str">
        <f aca="false">IF('Données brutes'!Y44="","",'Données brutes'!Y44)</f>
        <v/>
      </c>
      <c r="C44" s="2" t="str">
        <f aca="false">IF('Données brutes'!Z44="","",6-'Données brutes'!Z44)</f>
        <v/>
      </c>
      <c r="D44" s="2" t="str">
        <f aca="false">IF('Données brutes'!AA44="","",'Données brutes'!AA44)</f>
        <v/>
      </c>
      <c r="E44" s="2" t="n">
        <f aca="false">IF('Données brutes'!AB44="","",'Données brutes'!AB44)</f>
        <v>5</v>
      </c>
      <c r="F44" s="2" t="n">
        <f aca="false">IF('Données brutes'!AC44="","",6-'Données brutes'!AC44)</f>
        <v>3</v>
      </c>
      <c r="G44" s="2" t="n">
        <f aca="false">IF('Données brutes'!AD44="","",6-'Données brutes'!AD44)</f>
        <v>2</v>
      </c>
      <c r="H44" s="2" t="n">
        <f aca="false">IF('Données brutes'!AE44="","",'Données brutes'!AE44)</f>
        <v>2</v>
      </c>
      <c r="I44" s="2" t="n">
        <f aca="false">IF('Données brutes'!AF44="","",'Données brutes'!AF44)</f>
        <v>2</v>
      </c>
      <c r="J44" s="2" t="n">
        <f aca="false">IF('Données brutes'!AG44="","",6-'Données brutes'!AG44)</f>
        <v>3</v>
      </c>
      <c r="K44" s="2" t="n">
        <f aca="false">IF('Données brutes'!AO44="","",'Données brutes'!AO44)</f>
        <v>2</v>
      </c>
      <c r="L44" s="2" t="n">
        <f aca="false">IF('Données brutes'!AP44="","",6-'Données brutes'!AP44)</f>
        <v>3</v>
      </c>
      <c r="M44" s="2" t="n">
        <f aca="false">IF('Données brutes'!AQ44="","",'Données brutes'!AQ44)</f>
        <v>4</v>
      </c>
      <c r="N44" s="2" t="n">
        <f aca="false">IF('Données brutes'!AR44="","",'Données brutes'!AR44)</f>
        <v>5</v>
      </c>
      <c r="O44" s="2" t="n">
        <f aca="false">IF('Données brutes'!AS44="","",'Données brutes'!AS44)</f>
        <v>4</v>
      </c>
      <c r="P44" s="2" t="n">
        <f aca="false">IF('Données brutes'!AT44="","",'Données brutes'!AT44)</f>
        <v>5</v>
      </c>
      <c r="Q44" s="2" t="n">
        <f aca="false">IF('Données brutes'!AU44="","",'Données brutes'!AU44)</f>
        <v>4</v>
      </c>
      <c r="R44" s="2" t="n">
        <f aca="false">IF('Données brutes'!BC44="","",'Données brutes'!BC44)</f>
        <v>5</v>
      </c>
      <c r="S44" s="2" t="str">
        <f aca="false">IF('Données brutes'!BD44="","",'Données brutes'!BD44)</f>
        <v/>
      </c>
      <c r="T44" s="2" t="n">
        <f aca="false">IF('Données brutes'!BE44="","",'Données brutes'!BE44)</f>
        <v>3</v>
      </c>
      <c r="U44" s="2" t="n">
        <f aca="false">IF('Données brutes'!BF44="","",'Données brutes'!BF44)</f>
        <v>5</v>
      </c>
      <c r="V44" s="2" t="n">
        <f aca="false">IF('Données brutes'!BG44="","",6-'Données brutes'!BG44)</f>
        <v>2</v>
      </c>
      <c r="W44" s="2" t="n">
        <f aca="false">IF('Données brutes'!BH44="","",'Données brutes'!BH44)</f>
        <v>1</v>
      </c>
      <c r="X44" s="2" t="n">
        <f aca="false">IF('Données brutes'!BI44="","",'Données brutes'!BI44)</f>
        <v>5</v>
      </c>
      <c r="Y44" s="2" t="n">
        <f aca="false">IF('Données brutes'!BJ44="","",'Données brutes'!BJ44)</f>
        <v>4</v>
      </c>
      <c r="Z44" s="2" t="n">
        <f aca="false">IF('Données brutes'!BK44="","",6-'Données brutes'!BK44)</f>
        <v>3</v>
      </c>
      <c r="AA44" s="2" t="n">
        <f aca="false">IF('Données brutes'!BL44="","",6-'Données brutes'!BL44)</f>
        <v>2</v>
      </c>
      <c r="AB44" s="2" t="n">
        <f aca="false">IF('Données brutes'!BM44="","",6-'Données brutes'!BM44)</f>
        <v>3</v>
      </c>
      <c r="AC44" s="2" t="n">
        <f aca="false">IF('Données brutes'!BN44="","",6-'Données brutes'!BN44)</f>
        <v>1</v>
      </c>
      <c r="AD44" s="2" t="n">
        <f aca="false">IF('Données brutes'!BO44="","",6-'Données brutes'!BO44)</f>
        <v>5</v>
      </c>
      <c r="AE44" s="2" t="n">
        <f aca="false">IF('Données brutes'!BP44="","",6-'Données brutes'!BP44)</f>
        <v>2</v>
      </c>
      <c r="AF44" s="2" t="n">
        <f aca="false">IF('Données brutes'!BQ44="","",6-'Données brutes'!BQ44)</f>
        <v>5</v>
      </c>
      <c r="AG44" s="2" t="n">
        <f aca="false">IF('Données brutes'!BR44="","",'Données brutes'!BR44)</f>
        <v>2</v>
      </c>
      <c r="AH44" s="2" t="n">
        <f aca="false">IF('Données brutes'!BS44="","",'Données brutes'!BS44)</f>
        <v>4</v>
      </c>
      <c r="AI44" s="2" t="n">
        <f aca="false">IF('Données brutes'!BT44="","",'Données brutes'!BT44)</f>
        <v>2</v>
      </c>
      <c r="AJ44" s="2" t="n">
        <f aca="false">IF('Données brutes'!BU44="","",'Données brutes'!BU44)</f>
        <v>2</v>
      </c>
      <c r="AK44" s="2" t="n">
        <f aca="false">IF('Données brutes'!BV44="","",'Données brutes'!BV44)</f>
        <v>2</v>
      </c>
      <c r="AL44" s="2" t="n">
        <f aca="false">IF('Données brutes'!BW44="","",'Données brutes'!BW44)</f>
        <v>3</v>
      </c>
      <c r="AM44" s="2" t="n">
        <f aca="false">IF('Données brutes'!BX44="","",'Données brutes'!BX44)</f>
        <v>1</v>
      </c>
      <c r="AN44" s="2" t="n">
        <f aca="false">IF('Données brutes'!BY44="","",'Données brutes'!BY44)</f>
        <v>4</v>
      </c>
      <c r="AO44" s="2" t="n">
        <f aca="false">IF('Données brutes'!BZ44="","",'Données brutes'!BZ44)</f>
        <v>3</v>
      </c>
      <c r="AP44" s="2" t="n">
        <f aca="false">IF('Données brutes'!CG44="","",'Données brutes'!CG44)</f>
        <v>2</v>
      </c>
      <c r="AQ44" s="2" t="n">
        <f aca="false">IF('Données brutes'!CH44="","",'Données brutes'!CH44)</f>
        <v>4</v>
      </c>
      <c r="AR44" s="2" t="n">
        <f aca="false">IF('Données brutes'!CI44="","",'Données brutes'!CI44)</f>
        <v>2</v>
      </c>
      <c r="AS44" s="2" t="n">
        <f aca="false">IF('Données brutes'!CJ44="","",'Données brutes'!CJ44)</f>
        <v>4</v>
      </c>
      <c r="AT44" s="4" t="str">
        <f aca="false">IFERROR(AVERAGE(B44:D44),"")</f>
        <v/>
      </c>
      <c r="AU44" s="4" t="n">
        <f aca="false">IFERROR(AVERAGE(E44:J44),"")</f>
        <v>2.83333333333333</v>
      </c>
      <c r="AV44" s="4" t="n">
        <f aca="false">IFERROR(AVERAGE(K44:Q44),"")</f>
        <v>3.85714285714286</v>
      </c>
      <c r="AW44" s="4" t="n">
        <f aca="false">IFERROR(AVERAGE(R44:Y44),"")</f>
        <v>3.57142857142857</v>
      </c>
      <c r="AX44" s="4" t="n">
        <f aca="false">IFERROR(AVERAGE(Z44:AF44),"")</f>
        <v>3</v>
      </c>
      <c r="AY44" s="4" t="n">
        <f aca="false">IFERROR(AVERAGE(AG44:AJ44),"")</f>
        <v>2.5</v>
      </c>
      <c r="AZ44" s="4" t="n">
        <f aca="false">IFERROR(AVERAGE(AK44:AO44),"")</f>
        <v>2.6</v>
      </c>
      <c r="BA44" s="4" t="n">
        <f aca="false">IFERROR(AVERAGE(AP44:AS44),"")</f>
        <v>3</v>
      </c>
      <c r="BB44" s="4" t="n">
        <f aca="false">IFERROR(AVERAGE(B44:AS44),"")</f>
        <v>3.125</v>
      </c>
    </row>
    <row r="45" customFormat="false" ht="15" hidden="false" customHeight="false" outlineLevel="0" collapsed="false">
      <c r="A45" s="2" t="n">
        <f aca="false">'Données brutes'!A45</f>
        <v>44</v>
      </c>
      <c r="B45" s="2" t="str">
        <f aca="false">IF('Données brutes'!Y45="","",'Données brutes'!Y45)</f>
        <v/>
      </c>
      <c r="C45" s="2" t="str">
        <f aca="false">IF('Données brutes'!Z45="","",6-'Données brutes'!Z45)</f>
        <v/>
      </c>
      <c r="D45" s="2" t="str">
        <f aca="false">IF('Données brutes'!AA45="","",'Données brutes'!AA45)</f>
        <v/>
      </c>
      <c r="E45" s="2" t="n">
        <f aca="false">IF('Données brutes'!AB45="","",'Données brutes'!AB45)</f>
        <v>1</v>
      </c>
      <c r="F45" s="2" t="n">
        <f aca="false">IF('Données brutes'!AC45="","",6-'Données brutes'!AC45)</f>
        <v>4</v>
      </c>
      <c r="G45" s="2" t="n">
        <f aca="false">IF('Données brutes'!AD45="","",6-'Données brutes'!AD45)</f>
        <v>5</v>
      </c>
      <c r="H45" s="2" t="n">
        <f aca="false">IF('Données brutes'!AE45="","",'Données brutes'!AE45)</f>
        <v>5</v>
      </c>
      <c r="I45" s="2" t="n">
        <f aca="false">IF('Données brutes'!AF45="","",'Données brutes'!AF45)</f>
        <v>4</v>
      </c>
      <c r="J45" s="2" t="n">
        <f aca="false">IF('Données brutes'!AG45="","",6-'Données brutes'!AG45)</f>
        <v>2</v>
      </c>
      <c r="K45" s="2" t="str">
        <f aca="false">IF('Données brutes'!AO45="","",'Données brutes'!AO45)</f>
        <v/>
      </c>
      <c r="L45" s="2" t="n">
        <f aca="false">IF('Données brutes'!AP45="","",6-'Données brutes'!AP45)</f>
        <v>5</v>
      </c>
      <c r="M45" s="2" t="n">
        <f aca="false">IF('Données brutes'!AQ45="","",'Données brutes'!AQ45)</f>
        <v>5</v>
      </c>
      <c r="N45" s="2" t="n">
        <f aca="false">IF('Données brutes'!AR45="","",'Données brutes'!AR45)</f>
        <v>3</v>
      </c>
      <c r="O45" s="2" t="n">
        <f aca="false">IF('Données brutes'!AS45="","",'Données brutes'!AS45)</f>
        <v>3</v>
      </c>
      <c r="P45" s="2" t="n">
        <f aca="false">IF('Données brutes'!AT45="","",'Données brutes'!AT45)</f>
        <v>3</v>
      </c>
      <c r="Q45" s="2" t="n">
        <f aca="false">IF('Données brutes'!AU45="","",'Données brutes'!AU45)</f>
        <v>2</v>
      </c>
      <c r="R45" s="2" t="n">
        <f aca="false">IF('Données brutes'!BC45="","",'Données brutes'!BC45)</f>
        <v>4</v>
      </c>
      <c r="S45" s="2" t="n">
        <f aca="false">IF('Données brutes'!BD45="","",'Données brutes'!BD45)</f>
        <v>5</v>
      </c>
      <c r="T45" s="2" t="n">
        <f aca="false">IF('Données brutes'!BE45="","",'Données brutes'!BE45)</f>
        <v>4</v>
      </c>
      <c r="U45" s="2" t="n">
        <f aca="false">IF('Données brutes'!BF45="","",'Données brutes'!BF45)</f>
        <v>2</v>
      </c>
      <c r="V45" s="2" t="n">
        <f aca="false">IF('Données brutes'!BG45="","",6-'Données brutes'!BG45)</f>
        <v>1</v>
      </c>
      <c r="W45" s="2" t="n">
        <f aca="false">IF('Données brutes'!BH45="","",'Données brutes'!BH45)</f>
        <v>5</v>
      </c>
      <c r="X45" s="2" t="n">
        <f aca="false">IF('Données brutes'!BI45="","",'Données brutes'!BI45)</f>
        <v>4</v>
      </c>
      <c r="Y45" s="2" t="n">
        <f aca="false">IF('Données brutes'!BJ45="","",'Données brutes'!BJ45)</f>
        <v>2</v>
      </c>
      <c r="Z45" s="2" t="n">
        <f aca="false">IF('Données brutes'!BK45="","",6-'Données brutes'!BK45)</f>
        <v>2</v>
      </c>
      <c r="AA45" s="2" t="n">
        <f aca="false">IF('Données brutes'!BL45="","",6-'Données brutes'!BL45)</f>
        <v>5</v>
      </c>
      <c r="AB45" s="2" t="n">
        <f aca="false">IF('Données brutes'!BM45="","",6-'Données brutes'!BM45)</f>
        <v>4</v>
      </c>
      <c r="AC45" s="2" t="n">
        <f aca="false">IF('Données brutes'!BN45="","",6-'Données brutes'!BN45)</f>
        <v>1</v>
      </c>
      <c r="AD45" s="2" t="n">
        <f aca="false">IF('Données brutes'!BO45="","",6-'Données brutes'!BO45)</f>
        <v>4</v>
      </c>
      <c r="AE45" s="2" t="n">
        <f aca="false">IF('Données brutes'!BP45="","",6-'Données brutes'!BP45)</f>
        <v>5</v>
      </c>
      <c r="AF45" s="2" t="n">
        <f aca="false">IF('Données brutes'!BQ45="","",6-'Données brutes'!BQ45)</f>
        <v>1</v>
      </c>
      <c r="AG45" s="2" t="n">
        <f aca="false">IF('Données brutes'!BR45="","",'Données brutes'!BR45)</f>
        <v>2</v>
      </c>
      <c r="AH45" s="2" t="n">
        <f aca="false">IF('Données brutes'!BS45="","",'Données brutes'!BS45)</f>
        <v>3</v>
      </c>
      <c r="AI45" s="2" t="n">
        <f aca="false">IF('Données brutes'!BT45="","",'Données brutes'!BT45)</f>
        <v>3</v>
      </c>
      <c r="AJ45" s="2" t="n">
        <f aca="false">IF('Données brutes'!BU45="","",'Données brutes'!BU45)</f>
        <v>3</v>
      </c>
      <c r="AK45" s="2" t="n">
        <f aca="false">IF('Données brutes'!BV45="","",'Données brutes'!BV45)</f>
        <v>5</v>
      </c>
      <c r="AL45" s="2" t="n">
        <f aca="false">IF('Données brutes'!BW45="","",'Données brutes'!BW45)</f>
        <v>1</v>
      </c>
      <c r="AM45" s="2" t="str">
        <f aca="false">IF('Données brutes'!BX45="","",'Données brutes'!BX45)</f>
        <v/>
      </c>
      <c r="AN45" s="2" t="n">
        <f aca="false">IF('Données brutes'!BY45="","",'Données brutes'!BY45)</f>
        <v>3</v>
      </c>
      <c r="AO45" s="2" t="n">
        <f aca="false">IF('Données brutes'!BZ45="","",'Données brutes'!BZ45)</f>
        <v>5</v>
      </c>
      <c r="AP45" s="2" t="n">
        <f aca="false">IF('Données brutes'!CG45="","",'Données brutes'!CG45)</f>
        <v>4</v>
      </c>
      <c r="AQ45" s="2" t="n">
        <f aca="false">IF('Données brutes'!CH45="","",'Données brutes'!CH45)</f>
        <v>4</v>
      </c>
      <c r="AR45" s="2" t="n">
        <f aca="false">IF('Données brutes'!CI45="","",'Données brutes'!CI45)</f>
        <v>5</v>
      </c>
      <c r="AS45" s="2" t="n">
        <f aca="false">IF('Données brutes'!CJ45="","",'Données brutes'!CJ45)</f>
        <v>1</v>
      </c>
      <c r="AT45" s="4" t="str">
        <f aca="false">IFERROR(AVERAGE(B45:D45),"")</f>
        <v/>
      </c>
      <c r="AU45" s="4" t="n">
        <f aca="false">IFERROR(AVERAGE(E45:J45),"")</f>
        <v>3.5</v>
      </c>
      <c r="AV45" s="4" t="n">
        <f aca="false">IFERROR(AVERAGE(K45:Q45),"")</f>
        <v>3.5</v>
      </c>
      <c r="AW45" s="4" t="n">
        <f aca="false">IFERROR(AVERAGE(R45:Y45),"")</f>
        <v>3.375</v>
      </c>
      <c r="AX45" s="4" t="n">
        <f aca="false">IFERROR(AVERAGE(Z45:AF45),"")</f>
        <v>3.14285714285714</v>
      </c>
      <c r="AY45" s="4" t="n">
        <f aca="false">IFERROR(AVERAGE(AG45:AJ45),"")</f>
        <v>2.75</v>
      </c>
      <c r="AZ45" s="4" t="n">
        <f aca="false">IFERROR(AVERAGE(AK45:AO45),"")</f>
        <v>3.5</v>
      </c>
      <c r="BA45" s="4" t="n">
        <f aca="false">IFERROR(AVERAGE(AP45:AS45),"")</f>
        <v>3.5</v>
      </c>
      <c r="BB45" s="4" t="n">
        <f aca="false">IFERROR(AVERAGE(B45:AS45),"")</f>
        <v>3.33333333333333</v>
      </c>
    </row>
    <row r="46" customFormat="false" ht="15" hidden="false" customHeight="false" outlineLevel="0" collapsed="false">
      <c r="A46" s="2" t="n">
        <f aca="false">'Données brutes'!A46</f>
        <v>45</v>
      </c>
      <c r="B46" s="2" t="str">
        <f aca="false">IF('Données brutes'!Y46="","",'Données brutes'!Y46)</f>
        <v/>
      </c>
      <c r="C46" s="2" t="str">
        <f aca="false">IF('Données brutes'!Z46="","",6-'Données brutes'!Z46)</f>
        <v/>
      </c>
      <c r="D46" s="2" t="str">
        <f aca="false">IF('Données brutes'!AA46="","",'Données brutes'!AA46)</f>
        <v/>
      </c>
      <c r="E46" s="2" t="n">
        <f aca="false">IF('Données brutes'!AB46="","",'Données brutes'!AB46)</f>
        <v>5</v>
      </c>
      <c r="F46" s="2" t="n">
        <f aca="false">IF('Données brutes'!AC46="","",6-'Données brutes'!AC46)</f>
        <v>2</v>
      </c>
      <c r="G46" s="2" t="n">
        <f aca="false">IF('Données brutes'!AD46="","",6-'Données brutes'!AD46)</f>
        <v>3</v>
      </c>
      <c r="H46" s="2" t="n">
        <f aca="false">IF('Données brutes'!AE46="","",'Données brutes'!AE46)</f>
        <v>5</v>
      </c>
      <c r="I46" s="2" t="n">
        <f aca="false">IF('Données brutes'!AF46="","",'Données brutes'!AF46)</f>
        <v>2</v>
      </c>
      <c r="J46" s="2" t="n">
        <f aca="false">IF('Données brutes'!AG46="","",6-'Données brutes'!AG46)</f>
        <v>3</v>
      </c>
      <c r="K46" s="2" t="n">
        <f aca="false">IF('Données brutes'!AO46="","",'Données brutes'!AO46)</f>
        <v>5</v>
      </c>
      <c r="L46" s="2" t="n">
        <f aca="false">IF('Données brutes'!AP46="","",6-'Données brutes'!AP46)</f>
        <v>2</v>
      </c>
      <c r="M46" s="2" t="n">
        <f aca="false">IF('Données brutes'!AQ46="","",'Données brutes'!AQ46)</f>
        <v>4</v>
      </c>
      <c r="N46" s="2" t="str">
        <f aca="false">IF('Données brutes'!AR46="","",'Données brutes'!AR46)</f>
        <v/>
      </c>
      <c r="O46" s="2" t="n">
        <f aca="false">IF('Données brutes'!AS46="","",'Données brutes'!AS46)</f>
        <v>1</v>
      </c>
      <c r="P46" s="2" t="n">
        <f aca="false">IF('Données brutes'!AT46="","",'Données brutes'!AT46)</f>
        <v>3</v>
      </c>
      <c r="Q46" s="2" t="n">
        <f aca="false">IF('Données brutes'!AU46="","",'Données brutes'!AU46)</f>
        <v>5</v>
      </c>
      <c r="R46" s="2" t="n">
        <f aca="false">IF('Données brutes'!BC46="","",'Données brutes'!BC46)</f>
        <v>2</v>
      </c>
      <c r="S46" s="2" t="n">
        <f aca="false">IF('Données brutes'!BD46="","",'Données brutes'!BD46)</f>
        <v>4</v>
      </c>
      <c r="T46" s="2" t="n">
        <f aca="false">IF('Données brutes'!BE46="","",'Données brutes'!BE46)</f>
        <v>1</v>
      </c>
      <c r="U46" s="2" t="n">
        <f aca="false">IF('Données brutes'!BF46="","",'Données brutes'!BF46)</f>
        <v>2</v>
      </c>
      <c r="V46" s="2" t="n">
        <f aca="false">IF('Données brutes'!BG46="","",6-'Données brutes'!BG46)</f>
        <v>5</v>
      </c>
      <c r="W46" s="2" t="n">
        <f aca="false">IF('Données brutes'!BH46="","",'Données brutes'!BH46)</f>
        <v>4</v>
      </c>
      <c r="X46" s="2" t="n">
        <f aca="false">IF('Données brutes'!BI46="","",'Données brutes'!BI46)</f>
        <v>5</v>
      </c>
      <c r="Y46" s="2" t="str">
        <f aca="false">IF('Données brutes'!BJ46="","",'Données brutes'!BJ46)</f>
        <v/>
      </c>
      <c r="Z46" s="2" t="n">
        <f aca="false">IF('Données brutes'!BK46="","",6-'Données brutes'!BK46)</f>
        <v>1</v>
      </c>
      <c r="AA46" s="2" t="n">
        <f aca="false">IF('Données brutes'!BL46="","",6-'Données brutes'!BL46)</f>
        <v>4</v>
      </c>
      <c r="AB46" s="2" t="n">
        <f aca="false">IF('Données brutes'!BM46="","",6-'Données brutes'!BM46)</f>
        <v>1</v>
      </c>
      <c r="AC46" s="2" t="n">
        <f aca="false">IF('Données brutes'!BN46="","",6-'Données brutes'!BN46)</f>
        <v>4</v>
      </c>
      <c r="AD46" s="2" t="n">
        <f aca="false">IF('Données brutes'!BO46="","",6-'Données brutes'!BO46)</f>
        <v>3</v>
      </c>
      <c r="AE46" s="2" t="n">
        <f aca="false">IF('Données brutes'!BP46="","",6-'Données brutes'!BP46)</f>
        <v>2</v>
      </c>
      <c r="AF46" s="2" t="n">
        <f aca="false">IF('Données brutes'!BQ46="","",6-'Données brutes'!BQ46)</f>
        <v>3</v>
      </c>
      <c r="AG46" s="2" t="n">
        <f aca="false">IF('Données brutes'!BR46="","",'Données brutes'!BR46)</f>
        <v>3</v>
      </c>
      <c r="AH46" s="2" t="n">
        <f aca="false">IF('Données brutes'!BS46="","",'Données brutes'!BS46)</f>
        <v>4</v>
      </c>
      <c r="AI46" s="2" t="n">
        <f aca="false">IF('Données brutes'!BT46="","",'Données brutes'!BT46)</f>
        <v>3</v>
      </c>
      <c r="AJ46" s="2" t="n">
        <f aca="false">IF('Données brutes'!BU46="","",'Données brutes'!BU46)</f>
        <v>2</v>
      </c>
      <c r="AK46" s="2" t="n">
        <f aca="false">IF('Données brutes'!BV46="","",'Données brutes'!BV46)</f>
        <v>3</v>
      </c>
      <c r="AL46" s="2" t="n">
        <f aca="false">IF('Données brutes'!BW46="","",'Données brutes'!BW46)</f>
        <v>1</v>
      </c>
      <c r="AM46" s="2" t="n">
        <f aca="false">IF('Données brutes'!BX46="","",'Données brutes'!BX46)</f>
        <v>2</v>
      </c>
      <c r="AN46" s="2" t="n">
        <f aca="false">IF('Données brutes'!BY46="","",'Données brutes'!BY46)</f>
        <v>2</v>
      </c>
      <c r="AO46" s="2" t="n">
        <f aca="false">IF('Données brutes'!BZ46="","",'Données brutes'!BZ46)</f>
        <v>2</v>
      </c>
      <c r="AP46" s="2" t="n">
        <f aca="false">IF('Données brutes'!CG46="","",'Données brutes'!CG46)</f>
        <v>3</v>
      </c>
      <c r="AQ46" s="2" t="n">
        <f aca="false">IF('Données brutes'!CH46="","",'Données brutes'!CH46)</f>
        <v>3</v>
      </c>
      <c r="AR46" s="2" t="str">
        <f aca="false">IF('Données brutes'!CI46="","",'Données brutes'!CI46)</f>
        <v/>
      </c>
      <c r="AS46" s="2" t="n">
        <f aca="false">IF('Données brutes'!CJ46="","",'Données brutes'!CJ46)</f>
        <v>5</v>
      </c>
      <c r="AT46" s="4" t="str">
        <f aca="false">IFERROR(AVERAGE(B46:D46),"")</f>
        <v/>
      </c>
      <c r="AU46" s="4" t="n">
        <f aca="false">IFERROR(AVERAGE(E46:J46),"")</f>
        <v>3.33333333333333</v>
      </c>
      <c r="AV46" s="4" t="n">
        <f aca="false">IFERROR(AVERAGE(K46:Q46),"")</f>
        <v>3.33333333333333</v>
      </c>
      <c r="AW46" s="4" t="n">
        <f aca="false">IFERROR(AVERAGE(R46:Y46),"")</f>
        <v>3.28571428571429</v>
      </c>
      <c r="AX46" s="4" t="n">
        <f aca="false">IFERROR(AVERAGE(Z46:AF46),"")</f>
        <v>2.57142857142857</v>
      </c>
      <c r="AY46" s="4" t="n">
        <f aca="false">IFERROR(AVERAGE(AG46:AJ46),"")</f>
        <v>3</v>
      </c>
      <c r="AZ46" s="4" t="n">
        <f aca="false">IFERROR(AVERAGE(AK46:AO46),"")</f>
        <v>2</v>
      </c>
      <c r="BA46" s="4" t="n">
        <f aca="false">IFERROR(AVERAGE(AP46:AS46),"")</f>
        <v>3.66666666666667</v>
      </c>
      <c r="BB46" s="4" t="n">
        <f aca="false">IFERROR(AVERAGE(B46:AS46),"")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6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3" min="9" style="0" width="6"/>
    <col collapsed="false" customWidth="true" hidden="false" outlineLevel="0" max="18" min="14" style="0" width="8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1"/>
    <col collapsed="false" customWidth="true" hidden="false" outlineLevel="0" max="22" min="22" style="0" width="13"/>
  </cols>
  <sheetData>
    <row r="1" customFormat="false" ht="31.5" hidden="false" customHeight="true" outlineLevel="0" collapsed="false">
      <c r="A1" s="1" t="s">
        <v>320</v>
      </c>
      <c r="B1" s="1" t="s">
        <v>318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</row>
    <row r="2" customFormat="false" ht="23.85" hidden="false" customHeight="false" outlineLevel="0" collapsed="false">
      <c r="A2" s="2" t="s">
        <v>359</v>
      </c>
      <c r="B2" s="2" t="s">
        <v>24</v>
      </c>
      <c r="C2" s="3" t="s">
        <v>358</v>
      </c>
      <c r="D2" s="2"/>
      <c r="E2" s="2" t="n">
        <f aca="false">COUNT('Données brutes'!$Y$2:$Y$46)</f>
        <v>21</v>
      </c>
      <c r="F2" s="4" t="n">
        <f aca="false">IFERROR(AVERAGE('Données brutes'!$Y$2:$Y$46),"")</f>
        <v>3.0952380952381</v>
      </c>
      <c r="G2" s="4" t="n">
        <f aca="false">IFERROR(STDEV('Données brutes'!$Y$2:$Y$46),"")</f>
        <v>1.48002573980191</v>
      </c>
      <c r="H2" s="4" t="n">
        <f aca="false">IFERROR(MEDIAN('Données brutes'!$Y$2:$Y$46),"")</f>
        <v>3</v>
      </c>
      <c r="I2" s="2" t="n">
        <f aca="false">COUNTIF('Données brutes'!$Y$2:$Y$46,1)</f>
        <v>4</v>
      </c>
      <c r="J2" s="2" t="n">
        <f aca="false">COUNTIF('Données brutes'!$Y$2:$Y$46,2)</f>
        <v>4</v>
      </c>
      <c r="K2" s="2" t="n">
        <f aca="false">COUNTIF('Données brutes'!$Y$2:$Y$46,3)</f>
        <v>4</v>
      </c>
      <c r="L2" s="2" t="n">
        <f aca="false">COUNTIF('Données brutes'!$Y$2:$Y$46,4)</f>
        <v>4</v>
      </c>
      <c r="M2" s="2" t="n">
        <f aca="false">COUNTIF('Données brutes'!$Y$2:$Y$46,5)</f>
        <v>5</v>
      </c>
      <c r="N2" s="5" t="n">
        <f aca="false">IFERROR(COUNTIF('Données brutes'!$Y$2:$Y$46,1)/COUNT('Données brutes'!$Y$2:$Y$46),"")</f>
        <v>0.19047619047619</v>
      </c>
      <c r="O2" s="5" t="n">
        <f aca="false">IFERROR(COUNTIF('Données brutes'!$Y$2:$Y$46,2)/COUNT('Données brutes'!$Y$2:$Y$46),"")</f>
        <v>0.19047619047619</v>
      </c>
      <c r="P2" s="5" t="n">
        <f aca="false">IFERROR(COUNTIF('Données brutes'!$Y$2:$Y$46,3)/COUNT('Données brutes'!$Y$2:$Y$46),"")</f>
        <v>0.19047619047619</v>
      </c>
      <c r="Q2" s="5" t="n">
        <f aca="false">IFERROR(COUNTIF('Données brutes'!$Y$2:$Y$46,4)/COUNT('Données brutes'!$Y$2:$Y$46),"")</f>
        <v>0.19047619047619</v>
      </c>
      <c r="R2" s="5" t="n">
        <f aca="false">IFERROR(COUNTIF('Données brutes'!$Y$2:$Y$46,5)/COUNT('Données brutes'!$Y$2:$Y$46),"")</f>
        <v>0.238095238095238</v>
      </c>
      <c r="S2" s="5" t="n">
        <f aca="false">IFERROR(COUNTIF('Données brutes'!$Y$2:$Y$46,"&gt;=4")/COUNT('Données brutes'!$Y$2:$Y$46),"")</f>
        <v>0.428571428571429</v>
      </c>
      <c r="T2" s="5" t="n">
        <f aca="false">IFERROR(COUNTIF('Données brutes'!$Y$2:$Y$46,"&lt;=2")/COUNT('Données brutes'!$Y$2:$Y$46),"")</f>
        <v>0.380952380952381</v>
      </c>
      <c r="U2" s="5" t="n">
        <f aca="false">IFERROR(COUNTIF('Données brutes'!$Y$2:$Y$46,3)/COUNT('Données brutes'!$Y$2:$Y$46),"")</f>
        <v>0.19047619047619</v>
      </c>
      <c r="V2" s="2" t="n">
        <f aca="false">45-COUNT('Données brutes'!$Y$2:$Y$46)</f>
        <v>24</v>
      </c>
    </row>
    <row r="3" customFormat="false" ht="23.85" hidden="false" customHeight="false" outlineLevel="0" collapsed="false">
      <c r="A3" s="2" t="s">
        <v>359</v>
      </c>
      <c r="B3" s="2" t="s">
        <v>25</v>
      </c>
      <c r="C3" s="3" t="s">
        <v>362</v>
      </c>
      <c r="D3" s="2" t="s">
        <v>141</v>
      </c>
      <c r="E3" s="2" t="n">
        <f aca="false">COUNT('Données brutes'!$Z$2:$Z$46)</f>
        <v>22</v>
      </c>
      <c r="F3" s="4" t="n">
        <f aca="false">IFERROR(AVERAGE('Données brutes'!$Z$2:$Z$46),"")</f>
        <v>3.31818181818182</v>
      </c>
      <c r="G3" s="4" t="n">
        <f aca="false">IFERROR(STDEV('Données brutes'!$Z$2:$Z$46),"")</f>
        <v>1.21052383923984</v>
      </c>
      <c r="H3" s="4" t="n">
        <f aca="false">IFERROR(MEDIAN('Données brutes'!$Z$2:$Z$46),"")</f>
        <v>3</v>
      </c>
      <c r="I3" s="2" t="n">
        <f aca="false">COUNTIF('Données brutes'!$Z$2:$Z$46,1)</f>
        <v>1</v>
      </c>
      <c r="J3" s="2" t="n">
        <f aca="false">COUNTIF('Données brutes'!$Z$2:$Z$46,2)</f>
        <v>5</v>
      </c>
      <c r="K3" s="2" t="n">
        <f aca="false">COUNTIF('Données brutes'!$Z$2:$Z$46,3)</f>
        <v>7</v>
      </c>
      <c r="L3" s="2" t="n">
        <f aca="false">COUNTIF('Données brutes'!$Z$2:$Z$46,4)</f>
        <v>4</v>
      </c>
      <c r="M3" s="2" t="n">
        <f aca="false">COUNTIF('Données brutes'!$Z$2:$Z$46,5)</f>
        <v>5</v>
      </c>
      <c r="N3" s="5" t="n">
        <f aca="false">IFERROR(COUNTIF('Données brutes'!$Z$2:$Z$46,1)/COUNT('Données brutes'!$Z$2:$Z$46),"")</f>
        <v>0.0454545454545455</v>
      </c>
      <c r="O3" s="5" t="n">
        <f aca="false">IFERROR(COUNTIF('Données brutes'!$Z$2:$Z$46,2)/COUNT('Données brutes'!$Z$2:$Z$46),"")</f>
        <v>0.227272727272727</v>
      </c>
      <c r="P3" s="5" t="n">
        <f aca="false">IFERROR(COUNTIF('Données brutes'!$Z$2:$Z$46,3)/COUNT('Données brutes'!$Z$2:$Z$46),"")</f>
        <v>0.318181818181818</v>
      </c>
      <c r="Q3" s="5" t="n">
        <f aca="false">IFERROR(COUNTIF('Données brutes'!$Z$2:$Z$46,4)/COUNT('Données brutes'!$Z$2:$Z$46),"")</f>
        <v>0.181818181818182</v>
      </c>
      <c r="R3" s="5" t="n">
        <f aca="false">IFERROR(COUNTIF('Données brutes'!$Z$2:$Z$46,5)/COUNT('Données brutes'!$Z$2:$Z$46),"")</f>
        <v>0.227272727272727</v>
      </c>
      <c r="S3" s="5" t="n">
        <f aca="false">IFERROR(COUNTIF('Données brutes'!$Z$2:$Z$46,"&gt;=4")/COUNT('Données brutes'!$Z$2:$Z$46),"")</f>
        <v>0.409090909090909</v>
      </c>
      <c r="T3" s="5" t="n">
        <f aca="false">IFERROR(COUNTIF('Données brutes'!$Z$2:$Z$46,"&lt;=2")/COUNT('Données brutes'!$Z$2:$Z$46),"")</f>
        <v>0.272727272727273</v>
      </c>
      <c r="U3" s="5" t="n">
        <f aca="false">IFERROR(COUNTIF('Données brutes'!$Z$2:$Z$46,3)/COUNT('Données brutes'!$Z$2:$Z$46),"")</f>
        <v>0.318181818181818</v>
      </c>
      <c r="V3" s="2" t="n">
        <f aca="false">45-COUNT('Données brutes'!$Z$2:$Z$46)</f>
        <v>23</v>
      </c>
    </row>
    <row r="4" customFormat="false" ht="23.85" hidden="false" customHeight="false" outlineLevel="0" collapsed="false">
      <c r="A4" s="2" t="s">
        <v>359</v>
      </c>
      <c r="B4" s="2" t="s">
        <v>26</v>
      </c>
      <c r="C4" s="3" t="s">
        <v>363</v>
      </c>
      <c r="D4" s="2"/>
      <c r="E4" s="2" t="n">
        <f aca="false">COUNT('Données brutes'!$AA$2:$AA$46)</f>
        <v>21</v>
      </c>
      <c r="F4" s="4" t="n">
        <f aca="false">IFERROR(AVERAGE('Données brutes'!$AA$2:$AA$46),"")</f>
        <v>3.42857142857143</v>
      </c>
      <c r="G4" s="4" t="n">
        <f aca="false">IFERROR(STDEV('Données brutes'!$AA$2:$AA$46),"")</f>
        <v>0.676123403782813</v>
      </c>
      <c r="H4" s="4" t="n">
        <f aca="false">IFERROR(MEDIAN('Données brutes'!$AA$2:$AA$46),"")</f>
        <v>3</v>
      </c>
      <c r="I4" s="2" t="n">
        <f aca="false">COUNTIF('Données brutes'!$AA$2:$AA$46,1)</f>
        <v>0</v>
      </c>
      <c r="J4" s="2" t="n">
        <f aca="false">COUNTIF('Données brutes'!$AA$2:$AA$46,2)</f>
        <v>1</v>
      </c>
      <c r="K4" s="2" t="n">
        <f aca="false">COUNTIF('Données brutes'!$AA$2:$AA$46,3)</f>
        <v>11</v>
      </c>
      <c r="L4" s="2" t="n">
        <f aca="false">COUNTIF('Données brutes'!$AA$2:$AA$46,4)</f>
        <v>8</v>
      </c>
      <c r="M4" s="2" t="n">
        <f aca="false">COUNTIF('Données brutes'!$AA$2:$AA$46,5)</f>
        <v>1</v>
      </c>
      <c r="N4" s="5" t="n">
        <f aca="false">IFERROR(COUNTIF('Données brutes'!$AA$2:$AA$46,1)/COUNT('Données brutes'!$AA$2:$AA$46),"")</f>
        <v>0</v>
      </c>
      <c r="O4" s="5" t="n">
        <f aca="false">IFERROR(COUNTIF('Données brutes'!$AA$2:$AA$46,2)/COUNT('Données brutes'!$AA$2:$AA$46),"")</f>
        <v>0.0476190476190476</v>
      </c>
      <c r="P4" s="5" t="n">
        <f aca="false">IFERROR(COUNTIF('Données brutes'!$AA$2:$AA$46,3)/COUNT('Données brutes'!$AA$2:$AA$46),"")</f>
        <v>0.523809523809524</v>
      </c>
      <c r="Q4" s="5" t="n">
        <f aca="false">IFERROR(COUNTIF('Données brutes'!$AA$2:$AA$46,4)/COUNT('Données brutes'!$AA$2:$AA$46),"")</f>
        <v>0.380952380952381</v>
      </c>
      <c r="R4" s="5" t="n">
        <f aca="false">IFERROR(COUNTIF('Données brutes'!$AA$2:$AA$46,5)/COUNT('Données brutes'!$AA$2:$AA$46),"")</f>
        <v>0.0476190476190476</v>
      </c>
      <c r="S4" s="5" t="n">
        <f aca="false">IFERROR(COUNTIF('Données brutes'!$AA$2:$AA$46,"&gt;=4")/COUNT('Données brutes'!$AA$2:$AA$46),"")</f>
        <v>0.428571428571429</v>
      </c>
      <c r="T4" s="5" t="n">
        <f aca="false">IFERROR(COUNTIF('Données brutes'!$AA$2:$AA$46,"&lt;=2")/COUNT('Données brutes'!$AA$2:$AA$46),"")</f>
        <v>0.0476190476190476</v>
      </c>
      <c r="U4" s="5" t="n">
        <f aca="false">IFERROR(COUNTIF('Données brutes'!$AA$2:$AA$46,3)/COUNT('Données brutes'!$AA$2:$AA$46),"")</f>
        <v>0.523809523809524</v>
      </c>
      <c r="V4" s="2" t="n">
        <f aca="false">45-COUNT('Données brutes'!$AA$2:$AA$46)</f>
        <v>24</v>
      </c>
    </row>
    <row r="5" customFormat="false" ht="15" hidden="false" customHeight="false" outlineLevel="0" collapsed="false">
      <c r="A5" s="2" t="s">
        <v>365</v>
      </c>
      <c r="B5" s="2" t="s">
        <v>27</v>
      </c>
      <c r="C5" s="3" t="s">
        <v>364</v>
      </c>
      <c r="D5" s="2"/>
      <c r="E5" s="2" t="n">
        <f aca="false">COUNT('Données brutes'!$AB$2:$AB$46)</f>
        <v>44</v>
      </c>
      <c r="F5" s="4" t="n">
        <f aca="false">IFERROR(AVERAGE('Données brutes'!$AB$2:$AB$46),"")</f>
        <v>3.29545454545455</v>
      </c>
      <c r="G5" s="4" t="n">
        <f aca="false">IFERROR(STDEV('Données brutes'!$AB$2:$AB$46),"")</f>
        <v>1.19260405824662</v>
      </c>
      <c r="H5" s="4" t="n">
        <f aca="false">IFERROR(MEDIAN('Données brutes'!$AB$2:$AB$46),"")</f>
        <v>3</v>
      </c>
      <c r="I5" s="2" t="n">
        <f aca="false">COUNTIF('Données brutes'!$AB$2:$AB$46,1)</f>
        <v>4</v>
      </c>
      <c r="J5" s="2" t="n">
        <f aca="false">COUNTIF('Données brutes'!$AB$2:$AB$46,2)</f>
        <v>6</v>
      </c>
      <c r="K5" s="2" t="n">
        <f aca="false">COUNTIF('Données brutes'!$AB$2:$AB$46,3)</f>
        <v>15</v>
      </c>
      <c r="L5" s="2" t="n">
        <f aca="false">COUNTIF('Données brutes'!$AB$2:$AB$46,4)</f>
        <v>11</v>
      </c>
      <c r="M5" s="2" t="n">
        <f aca="false">COUNTIF('Données brutes'!$AB$2:$AB$46,5)</f>
        <v>8</v>
      </c>
      <c r="N5" s="5" t="n">
        <f aca="false">IFERROR(COUNTIF('Données brutes'!$AB$2:$AB$46,1)/COUNT('Données brutes'!$AB$2:$AB$46),"")</f>
        <v>0.0909090909090909</v>
      </c>
      <c r="O5" s="5" t="n">
        <f aca="false">IFERROR(COUNTIF('Données brutes'!$AB$2:$AB$46,2)/COUNT('Données brutes'!$AB$2:$AB$46),"")</f>
        <v>0.136363636363636</v>
      </c>
      <c r="P5" s="5" t="n">
        <f aca="false">IFERROR(COUNTIF('Données brutes'!$AB$2:$AB$46,3)/COUNT('Données brutes'!$AB$2:$AB$46),"")</f>
        <v>0.340909090909091</v>
      </c>
      <c r="Q5" s="5" t="n">
        <f aca="false">IFERROR(COUNTIF('Données brutes'!$AB$2:$AB$46,4)/COUNT('Données brutes'!$AB$2:$AB$46),"")</f>
        <v>0.25</v>
      </c>
      <c r="R5" s="5" t="n">
        <f aca="false">IFERROR(COUNTIF('Données brutes'!$AB$2:$AB$46,5)/COUNT('Données brutes'!$AB$2:$AB$46),"")</f>
        <v>0.181818181818182</v>
      </c>
      <c r="S5" s="5" t="n">
        <f aca="false">IFERROR(COUNTIF('Données brutes'!$AB$2:$AB$46,"&gt;=4")/COUNT('Données brutes'!$AB$2:$AB$46),"")</f>
        <v>0.431818181818182</v>
      </c>
      <c r="T5" s="5" t="n">
        <f aca="false">IFERROR(COUNTIF('Données brutes'!$AB$2:$AB$46,"&lt;=2")/COUNT('Données brutes'!$AB$2:$AB$46),"")</f>
        <v>0.227272727272727</v>
      </c>
      <c r="U5" s="5" t="n">
        <f aca="false">IFERROR(COUNTIF('Données brutes'!$AB$2:$AB$46,3)/COUNT('Données brutes'!$AB$2:$AB$46),"")</f>
        <v>0.340909090909091</v>
      </c>
      <c r="V5" s="2" t="n">
        <f aca="false">45-COUNT('Données brutes'!$AB$2:$AB$46)</f>
        <v>1</v>
      </c>
    </row>
    <row r="6" customFormat="false" ht="23.85" hidden="false" customHeight="false" outlineLevel="0" collapsed="false">
      <c r="A6" s="2" t="s">
        <v>365</v>
      </c>
      <c r="B6" s="2" t="s">
        <v>28</v>
      </c>
      <c r="C6" s="3" t="s">
        <v>366</v>
      </c>
      <c r="D6" s="2" t="s">
        <v>141</v>
      </c>
      <c r="E6" s="2" t="n">
        <f aca="false">COUNT('Données brutes'!$AC$2:$AC$46)</f>
        <v>43</v>
      </c>
      <c r="F6" s="4" t="n">
        <f aca="false">IFERROR(AVERAGE('Données brutes'!$AC$2:$AC$46),"")</f>
        <v>3.41860465116279</v>
      </c>
      <c r="G6" s="4" t="n">
        <f aca="false">IFERROR(STDEV('Données brutes'!$AC$2:$AC$46),"")</f>
        <v>1.15948589057998</v>
      </c>
      <c r="H6" s="4" t="n">
        <f aca="false">IFERROR(MEDIAN('Données brutes'!$AC$2:$AC$46),"")</f>
        <v>4</v>
      </c>
      <c r="I6" s="2" t="n">
        <f aca="false">COUNTIF('Données brutes'!$AC$2:$AC$46,1)</f>
        <v>3</v>
      </c>
      <c r="J6" s="2" t="n">
        <f aca="false">COUNTIF('Données brutes'!$AC$2:$AC$46,2)</f>
        <v>7</v>
      </c>
      <c r="K6" s="2" t="n">
        <f aca="false">COUNTIF('Données brutes'!$AC$2:$AC$46,3)</f>
        <v>9</v>
      </c>
      <c r="L6" s="2" t="n">
        <f aca="false">COUNTIF('Données brutes'!$AC$2:$AC$46,4)</f>
        <v>17</v>
      </c>
      <c r="M6" s="2" t="n">
        <f aca="false">COUNTIF('Données brutes'!$AC$2:$AC$46,5)</f>
        <v>7</v>
      </c>
      <c r="N6" s="5" t="n">
        <f aca="false">IFERROR(COUNTIF('Données brutes'!$AC$2:$AC$46,1)/COUNT('Données brutes'!$AC$2:$AC$46),"")</f>
        <v>0.0697674418604651</v>
      </c>
      <c r="O6" s="5" t="n">
        <f aca="false">IFERROR(COUNTIF('Données brutes'!$AC$2:$AC$46,2)/COUNT('Données brutes'!$AC$2:$AC$46),"")</f>
        <v>0.162790697674419</v>
      </c>
      <c r="P6" s="5" t="n">
        <f aca="false">IFERROR(COUNTIF('Données brutes'!$AC$2:$AC$46,3)/COUNT('Données brutes'!$AC$2:$AC$46),"")</f>
        <v>0.209302325581395</v>
      </c>
      <c r="Q6" s="5" t="n">
        <f aca="false">IFERROR(COUNTIF('Données brutes'!$AC$2:$AC$46,4)/COUNT('Données brutes'!$AC$2:$AC$46),"")</f>
        <v>0.395348837209302</v>
      </c>
      <c r="R6" s="5" t="n">
        <f aca="false">IFERROR(COUNTIF('Données brutes'!$AC$2:$AC$46,5)/COUNT('Données brutes'!$AC$2:$AC$46),"")</f>
        <v>0.162790697674419</v>
      </c>
      <c r="S6" s="5" t="n">
        <f aca="false">IFERROR(COUNTIF('Données brutes'!$AC$2:$AC$46,"&gt;=4")/COUNT('Données brutes'!$AC$2:$AC$46),"")</f>
        <v>0.558139534883721</v>
      </c>
      <c r="T6" s="5" t="n">
        <f aca="false">IFERROR(COUNTIF('Données brutes'!$AC$2:$AC$46,"&lt;=2")/COUNT('Données brutes'!$AC$2:$AC$46),"")</f>
        <v>0.232558139534884</v>
      </c>
      <c r="U6" s="5" t="n">
        <f aca="false">IFERROR(COUNTIF('Données brutes'!$AC$2:$AC$46,3)/COUNT('Données brutes'!$AC$2:$AC$46),"")</f>
        <v>0.209302325581395</v>
      </c>
      <c r="V6" s="2" t="n">
        <f aca="false">45-COUNT('Données brutes'!$AC$2:$AC$46)</f>
        <v>2</v>
      </c>
    </row>
    <row r="7" customFormat="false" ht="23.85" hidden="false" customHeight="false" outlineLevel="0" collapsed="false">
      <c r="A7" s="2" t="s">
        <v>365</v>
      </c>
      <c r="B7" s="2" t="s">
        <v>29</v>
      </c>
      <c r="C7" s="3" t="s">
        <v>367</v>
      </c>
      <c r="D7" s="2" t="s">
        <v>141</v>
      </c>
      <c r="E7" s="2" t="n">
        <f aca="false">COUNT('Données brutes'!$AD$2:$AD$46)</f>
        <v>44</v>
      </c>
      <c r="F7" s="4" t="n">
        <f aca="false">IFERROR(AVERAGE('Données brutes'!$AD$2:$AD$46),"")</f>
        <v>3.27272727272727</v>
      </c>
      <c r="G7" s="4" t="n">
        <f aca="false">IFERROR(STDEV('Données brutes'!$AD$2:$AD$46),"")</f>
        <v>1.16865329697957</v>
      </c>
      <c r="H7" s="4" t="n">
        <f aca="false">IFERROR(MEDIAN('Données brutes'!$AD$2:$AD$46),"")</f>
        <v>3</v>
      </c>
      <c r="I7" s="2" t="n">
        <f aca="false">COUNTIF('Données brutes'!$AD$2:$AD$46,1)</f>
        <v>3</v>
      </c>
      <c r="J7" s="2" t="n">
        <f aca="false">COUNTIF('Données brutes'!$AD$2:$AD$46,2)</f>
        <v>8</v>
      </c>
      <c r="K7" s="2" t="n">
        <f aca="false">COUNTIF('Données brutes'!$AD$2:$AD$46,3)</f>
        <v>15</v>
      </c>
      <c r="L7" s="2" t="n">
        <f aca="false">COUNTIF('Données brutes'!$AD$2:$AD$46,4)</f>
        <v>10</v>
      </c>
      <c r="M7" s="2" t="n">
        <f aca="false">COUNTIF('Données brutes'!$AD$2:$AD$46,5)</f>
        <v>8</v>
      </c>
      <c r="N7" s="5" t="n">
        <f aca="false">IFERROR(COUNTIF('Données brutes'!$AD$2:$AD$46,1)/COUNT('Données brutes'!$AD$2:$AD$46),"")</f>
        <v>0.0681818181818182</v>
      </c>
      <c r="O7" s="5" t="n">
        <f aca="false">IFERROR(COUNTIF('Données brutes'!$AD$2:$AD$46,2)/COUNT('Données brutes'!$AD$2:$AD$46),"")</f>
        <v>0.181818181818182</v>
      </c>
      <c r="P7" s="5" t="n">
        <f aca="false">IFERROR(COUNTIF('Données brutes'!$AD$2:$AD$46,3)/COUNT('Données brutes'!$AD$2:$AD$46),"")</f>
        <v>0.340909090909091</v>
      </c>
      <c r="Q7" s="5" t="n">
        <f aca="false">IFERROR(COUNTIF('Données brutes'!$AD$2:$AD$46,4)/COUNT('Données brutes'!$AD$2:$AD$46),"")</f>
        <v>0.227272727272727</v>
      </c>
      <c r="R7" s="5" t="n">
        <f aca="false">IFERROR(COUNTIF('Données brutes'!$AD$2:$AD$46,5)/COUNT('Données brutes'!$AD$2:$AD$46),"")</f>
        <v>0.181818181818182</v>
      </c>
      <c r="S7" s="5" t="n">
        <f aca="false">IFERROR(COUNTIF('Données brutes'!$AD$2:$AD$46,"&gt;=4")/COUNT('Données brutes'!$AD$2:$AD$46),"")</f>
        <v>0.409090909090909</v>
      </c>
      <c r="T7" s="5" t="n">
        <f aca="false">IFERROR(COUNTIF('Données brutes'!$AD$2:$AD$46,"&lt;=2")/COUNT('Données brutes'!$AD$2:$AD$46),"")</f>
        <v>0.25</v>
      </c>
      <c r="U7" s="5" t="n">
        <f aca="false">IFERROR(COUNTIF('Données brutes'!$AD$2:$AD$46,3)/COUNT('Données brutes'!$AD$2:$AD$46),"")</f>
        <v>0.340909090909091</v>
      </c>
      <c r="V7" s="2" t="n">
        <f aca="false">45-COUNT('Données brutes'!$AD$2:$AD$46)</f>
        <v>1</v>
      </c>
    </row>
    <row r="8" customFormat="false" ht="23.85" hidden="false" customHeight="false" outlineLevel="0" collapsed="false">
      <c r="A8" s="2" t="s">
        <v>365</v>
      </c>
      <c r="B8" s="2" t="s">
        <v>30</v>
      </c>
      <c r="C8" s="3" t="s">
        <v>368</v>
      </c>
      <c r="D8" s="2"/>
      <c r="E8" s="2" t="n">
        <f aca="false">COUNT('Données brutes'!$AE$2:$AE$46)</f>
        <v>44</v>
      </c>
      <c r="F8" s="4" t="n">
        <f aca="false">IFERROR(AVERAGE('Données brutes'!$AE$2:$AE$46),"")</f>
        <v>3.36363636363636</v>
      </c>
      <c r="G8" s="4" t="n">
        <f aca="false">IFERROR(STDEV('Données brutes'!$AE$2:$AE$46),"")</f>
        <v>1.38246340783247</v>
      </c>
      <c r="H8" s="4" t="n">
        <f aca="false">IFERROR(MEDIAN('Données brutes'!$AE$2:$AE$46),"")</f>
        <v>4</v>
      </c>
      <c r="I8" s="2" t="n">
        <f aca="false">COUNTIF('Données brutes'!$AE$2:$AE$46,1)</f>
        <v>6</v>
      </c>
      <c r="J8" s="2" t="n">
        <f aca="false">COUNTIF('Données brutes'!$AE$2:$AE$46,2)</f>
        <v>7</v>
      </c>
      <c r="K8" s="2" t="n">
        <f aca="false">COUNTIF('Données brutes'!$AE$2:$AE$46,3)</f>
        <v>7</v>
      </c>
      <c r="L8" s="2" t="n">
        <f aca="false">COUNTIF('Données brutes'!$AE$2:$AE$46,4)</f>
        <v>13</v>
      </c>
      <c r="M8" s="2" t="n">
        <f aca="false">COUNTIF('Données brutes'!$AE$2:$AE$46,5)</f>
        <v>11</v>
      </c>
      <c r="N8" s="5" t="n">
        <f aca="false">IFERROR(COUNTIF('Données brutes'!$AE$2:$AE$46,1)/COUNT('Données brutes'!$AE$2:$AE$46),"")</f>
        <v>0.136363636363636</v>
      </c>
      <c r="O8" s="5" t="n">
        <f aca="false">IFERROR(COUNTIF('Données brutes'!$AE$2:$AE$46,2)/COUNT('Données brutes'!$AE$2:$AE$46),"")</f>
        <v>0.159090909090909</v>
      </c>
      <c r="P8" s="5" t="n">
        <f aca="false">IFERROR(COUNTIF('Données brutes'!$AE$2:$AE$46,3)/COUNT('Données brutes'!$AE$2:$AE$46),"")</f>
        <v>0.159090909090909</v>
      </c>
      <c r="Q8" s="5" t="n">
        <f aca="false">IFERROR(COUNTIF('Données brutes'!$AE$2:$AE$46,4)/COUNT('Données brutes'!$AE$2:$AE$46),"")</f>
        <v>0.295454545454545</v>
      </c>
      <c r="R8" s="5" t="n">
        <f aca="false">IFERROR(COUNTIF('Données brutes'!$AE$2:$AE$46,5)/COUNT('Données brutes'!$AE$2:$AE$46),"")</f>
        <v>0.25</v>
      </c>
      <c r="S8" s="5" t="n">
        <f aca="false">IFERROR(COUNTIF('Données brutes'!$AE$2:$AE$46,"&gt;=4")/COUNT('Données brutes'!$AE$2:$AE$46),"")</f>
        <v>0.545454545454545</v>
      </c>
      <c r="T8" s="5" t="n">
        <f aca="false">IFERROR(COUNTIF('Données brutes'!$AE$2:$AE$46,"&lt;=2")/COUNT('Données brutes'!$AE$2:$AE$46),"")</f>
        <v>0.295454545454545</v>
      </c>
      <c r="U8" s="5" t="n">
        <f aca="false">IFERROR(COUNTIF('Données brutes'!$AE$2:$AE$46,3)/COUNT('Données brutes'!$AE$2:$AE$46),"")</f>
        <v>0.159090909090909</v>
      </c>
      <c r="V8" s="2" t="n">
        <f aca="false">45-COUNT('Données brutes'!$AE$2:$AE$46)</f>
        <v>1</v>
      </c>
    </row>
    <row r="9" customFormat="false" ht="23.85" hidden="false" customHeight="false" outlineLevel="0" collapsed="false">
      <c r="A9" s="2" t="s">
        <v>365</v>
      </c>
      <c r="B9" s="2" t="s">
        <v>31</v>
      </c>
      <c r="C9" s="3" t="s">
        <v>369</v>
      </c>
      <c r="D9" s="2"/>
      <c r="E9" s="2" t="n">
        <f aca="false">COUNT('Données brutes'!$AF$2:$AF$46)</f>
        <v>44</v>
      </c>
      <c r="F9" s="4" t="n">
        <f aca="false">IFERROR(AVERAGE('Données brutes'!$AF$2:$AF$46),"")</f>
        <v>2.93181818181818</v>
      </c>
      <c r="G9" s="4" t="n">
        <f aca="false">IFERROR(STDEV('Données brutes'!$AF$2:$AF$46),"")</f>
        <v>1.1492713014397</v>
      </c>
      <c r="H9" s="4" t="n">
        <f aca="false">IFERROR(MEDIAN('Données brutes'!$AF$2:$AF$46),"")</f>
        <v>3</v>
      </c>
      <c r="I9" s="2" t="n">
        <f aca="false">COUNTIF('Données brutes'!$AF$2:$AF$46,1)</f>
        <v>3</v>
      </c>
      <c r="J9" s="2" t="n">
        <f aca="false">COUNTIF('Données brutes'!$AF$2:$AF$46,2)</f>
        <v>16</v>
      </c>
      <c r="K9" s="2" t="n">
        <f aca="false">COUNTIF('Données brutes'!$AF$2:$AF$46,3)</f>
        <v>11</v>
      </c>
      <c r="L9" s="2" t="n">
        <f aca="false">COUNTIF('Données brutes'!$AF$2:$AF$46,4)</f>
        <v>9</v>
      </c>
      <c r="M9" s="2" t="n">
        <f aca="false">COUNTIF('Données brutes'!$AF$2:$AF$46,5)</f>
        <v>5</v>
      </c>
      <c r="N9" s="5" t="n">
        <f aca="false">IFERROR(COUNTIF('Données brutes'!$AF$2:$AF$46,1)/COUNT('Données brutes'!$AF$2:$AF$46),"")</f>
        <v>0.0681818181818182</v>
      </c>
      <c r="O9" s="5" t="n">
        <f aca="false">IFERROR(COUNTIF('Données brutes'!$AF$2:$AF$46,2)/COUNT('Données brutes'!$AF$2:$AF$46),"")</f>
        <v>0.363636363636364</v>
      </c>
      <c r="P9" s="5" t="n">
        <f aca="false">IFERROR(COUNTIF('Données brutes'!$AF$2:$AF$46,3)/COUNT('Données brutes'!$AF$2:$AF$46),"")</f>
        <v>0.25</v>
      </c>
      <c r="Q9" s="5" t="n">
        <f aca="false">IFERROR(COUNTIF('Données brutes'!$AF$2:$AF$46,4)/COUNT('Données brutes'!$AF$2:$AF$46),"")</f>
        <v>0.204545454545455</v>
      </c>
      <c r="R9" s="5" t="n">
        <f aca="false">IFERROR(COUNTIF('Données brutes'!$AF$2:$AF$46,5)/COUNT('Données brutes'!$AF$2:$AF$46),"")</f>
        <v>0.113636363636364</v>
      </c>
      <c r="S9" s="5" t="n">
        <f aca="false">IFERROR(COUNTIF('Données brutes'!$AF$2:$AF$46,"&gt;=4")/COUNT('Données brutes'!$AF$2:$AF$46),"")</f>
        <v>0.318181818181818</v>
      </c>
      <c r="T9" s="5" t="n">
        <f aca="false">IFERROR(COUNTIF('Données brutes'!$AF$2:$AF$46,"&lt;=2")/COUNT('Données brutes'!$AF$2:$AF$46),"")</f>
        <v>0.431818181818182</v>
      </c>
      <c r="U9" s="5" t="n">
        <f aca="false">IFERROR(COUNTIF('Données brutes'!$AF$2:$AF$46,3)/COUNT('Données brutes'!$AF$2:$AF$46),"")</f>
        <v>0.25</v>
      </c>
      <c r="V9" s="2" t="n">
        <f aca="false">45-COUNT('Données brutes'!$AF$2:$AF$46)</f>
        <v>1</v>
      </c>
    </row>
    <row r="10" customFormat="false" ht="23.85" hidden="false" customHeight="false" outlineLevel="0" collapsed="false">
      <c r="A10" s="2" t="s">
        <v>365</v>
      </c>
      <c r="B10" s="2" t="s">
        <v>32</v>
      </c>
      <c r="C10" s="3" t="s">
        <v>370</v>
      </c>
      <c r="D10" s="2" t="s">
        <v>141</v>
      </c>
      <c r="E10" s="2" t="n">
        <f aca="false">COUNT('Données brutes'!$AG$2:$AG$46)</f>
        <v>42</v>
      </c>
      <c r="F10" s="4" t="n">
        <f aca="false">IFERROR(AVERAGE('Données brutes'!$AG$2:$AG$46),"")</f>
        <v>3.23809523809524</v>
      </c>
      <c r="G10" s="4" t="n">
        <f aca="false">IFERROR(STDEV('Données brutes'!$AG$2:$AG$46),"")</f>
        <v>1.05482685689432</v>
      </c>
      <c r="H10" s="4" t="n">
        <f aca="false">IFERROR(MEDIAN('Données brutes'!$AG$2:$AG$46),"")</f>
        <v>3</v>
      </c>
      <c r="I10" s="2" t="n">
        <f aca="false">COUNTIF('Données brutes'!$AG$2:$AG$46,1)</f>
        <v>2</v>
      </c>
      <c r="J10" s="2" t="n">
        <f aca="false">COUNTIF('Données brutes'!$AG$2:$AG$46,2)</f>
        <v>8</v>
      </c>
      <c r="K10" s="2" t="n">
        <f aca="false">COUNTIF('Données brutes'!$AG$2:$AG$46,3)</f>
        <v>15</v>
      </c>
      <c r="L10" s="2" t="n">
        <f aca="false">COUNTIF('Données brutes'!$AG$2:$AG$46,4)</f>
        <v>12</v>
      </c>
      <c r="M10" s="2" t="n">
        <f aca="false">COUNTIF('Données brutes'!$AG$2:$AG$46,5)</f>
        <v>5</v>
      </c>
      <c r="N10" s="5" t="n">
        <f aca="false">IFERROR(COUNTIF('Données brutes'!$AG$2:$AG$46,1)/COUNT('Données brutes'!$AG$2:$AG$46),"")</f>
        <v>0.0476190476190476</v>
      </c>
      <c r="O10" s="5" t="n">
        <f aca="false">IFERROR(COUNTIF('Données brutes'!$AG$2:$AG$46,2)/COUNT('Données brutes'!$AG$2:$AG$46),"")</f>
        <v>0.19047619047619</v>
      </c>
      <c r="P10" s="5" t="n">
        <f aca="false">IFERROR(COUNTIF('Données brutes'!$AG$2:$AG$46,3)/COUNT('Données brutes'!$AG$2:$AG$46),"")</f>
        <v>0.357142857142857</v>
      </c>
      <c r="Q10" s="5" t="n">
        <f aca="false">IFERROR(COUNTIF('Données brutes'!$AG$2:$AG$46,4)/COUNT('Données brutes'!$AG$2:$AG$46),"")</f>
        <v>0.285714285714286</v>
      </c>
      <c r="R10" s="5" t="n">
        <f aca="false">IFERROR(COUNTIF('Données brutes'!$AG$2:$AG$46,5)/COUNT('Données brutes'!$AG$2:$AG$46),"")</f>
        <v>0.119047619047619</v>
      </c>
      <c r="S10" s="5" t="n">
        <f aca="false">IFERROR(COUNTIF('Données brutes'!$AG$2:$AG$46,"&gt;=4")/COUNT('Données brutes'!$AG$2:$AG$46),"")</f>
        <v>0.404761904761905</v>
      </c>
      <c r="T10" s="5" t="n">
        <f aca="false">IFERROR(COUNTIF('Données brutes'!$AG$2:$AG$46,"&lt;=2")/COUNT('Données brutes'!$AG$2:$AG$46),"")</f>
        <v>0.238095238095238</v>
      </c>
      <c r="U10" s="5" t="n">
        <f aca="false">IFERROR(COUNTIF('Données brutes'!$AG$2:$AG$46,3)/COUNT('Données brutes'!$AG$2:$AG$46),"")</f>
        <v>0.357142857142857</v>
      </c>
      <c r="V10" s="2" t="n">
        <f aca="false">45-COUNT('Données brutes'!$AG$2:$AG$46)</f>
        <v>3</v>
      </c>
    </row>
    <row r="11" customFormat="false" ht="15" hidden="false" customHeight="false" outlineLevel="0" collapsed="false">
      <c r="A11" s="2" t="s">
        <v>374</v>
      </c>
      <c r="B11" s="2" t="s">
        <v>40</v>
      </c>
      <c r="C11" s="3" t="s">
        <v>373</v>
      </c>
      <c r="D11" s="2"/>
      <c r="E11" s="2" t="n">
        <f aca="false">COUNT('Données brutes'!$AO$2:$AO$46)</f>
        <v>42</v>
      </c>
      <c r="F11" s="4" t="n">
        <f aca="false">IFERROR(AVERAGE('Données brutes'!$AO$2:$AO$46),"")</f>
        <v>3.21428571428571</v>
      </c>
      <c r="G11" s="4" t="n">
        <f aca="false">IFERROR(STDEV('Données brutes'!$AO$2:$AO$46),"")</f>
        <v>1.15896746067907</v>
      </c>
      <c r="H11" s="4" t="n">
        <f aca="false">IFERROR(MEDIAN('Données brutes'!$AO$2:$AO$46),"")</f>
        <v>3</v>
      </c>
      <c r="I11" s="2" t="n">
        <f aca="false">COUNTIF('Données brutes'!$AO$2:$AO$46,1)</f>
        <v>5</v>
      </c>
      <c r="J11" s="2" t="n">
        <f aca="false">COUNTIF('Données brutes'!$AO$2:$AO$46,2)</f>
        <v>5</v>
      </c>
      <c r="K11" s="2" t="n">
        <f aca="false">COUNTIF('Données brutes'!$AO$2:$AO$46,3)</f>
        <v>12</v>
      </c>
      <c r="L11" s="2" t="n">
        <f aca="false">COUNTIF('Données brutes'!$AO$2:$AO$46,4)</f>
        <v>16</v>
      </c>
      <c r="M11" s="2" t="n">
        <f aca="false">COUNTIF('Données brutes'!$AO$2:$AO$46,5)</f>
        <v>4</v>
      </c>
      <c r="N11" s="5" t="n">
        <f aca="false">IFERROR(COUNTIF('Données brutes'!$AO$2:$AO$46,1)/COUNT('Données brutes'!$AO$2:$AO$46),"")</f>
        <v>0.119047619047619</v>
      </c>
      <c r="O11" s="5" t="n">
        <f aca="false">IFERROR(COUNTIF('Données brutes'!$AO$2:$AO$46,2)/COUNT('Données brutes'!$AO$2:$AO$46),"")</f>
        <v>0.119047619047619</v>
      </c>
      <c r="P11" s="5" t="n">
        <f aca="false">IFERROR(COUNTIF('Données brutes'!$AO$2:$AO$46,3)/COUNT('Données brutes'!$AO$2:$AO$46),"")</f>
        <v>0.285714285714286</v>
      </c>
      <c r="Q11" s="5" t="n">
        <f aca="false">IFERROR(COUNTIF('Données brutes'!$AO$2:$AO$46,4)/COUNT('Données brutes'!$AO$2:$AO$46),"")</f>
        <v>0.380952380952381</v>
      </c>
      <c r="R11" s="5" t="n">
        <f aca="false">IFERROR(COUNTIF('Données brutes'!$AO$2:$AO$46,5)/COUNT('Données brutes'!$AO$2:$AO$46),"")</f>
        <v>0.0952380952380952</v>
      </c>
      <c r="S11" s="5" t="n">
        <f aca="false">IFERROR(COUNTIF('Données brutes'!$AO$2:$AO$46,"&gt;=4")/COUNT('Données brutes'!$AO$2:$AO$46),"")</f>
        <v>0.476190476190476</v>
      </c>
      <c r="T11" s="5" t="n">
        <f aca="false">IFERROR(COUNTIF('Données brutes'!$AO$2:$AO$46,"&lt;=2")/COUNT('Données brutes'!$AO$2:$AO$46),"")</f>
        <v>0.238095238095238</v>
      </c>
      <c r="U11" s="5" t="n">
        <f aca="false">IFERROR(COUNTIF('Données brutes'!$AO$2:$AO$46,3)/COUNT('Données brutes'!$AO$2:$AO$46),"")</f>
        <v>0.285714285714286</v>
      </c>
      <c r="V11" s="2" t="n">
        <f aca="false">45-COUNT('Données brutes'!$AO$2:$AO$46)</f>
        <v>3</v>
      </c>
    </row>
    <row r="12" customFormat="false" ht="15" hidden="false" customHeight="false" outlineLevel="0" collapsed="false">
      <c r="A12" s="2" t="s">
        <v>374</v>
      </c>
      <c r="B12" s="2" t="s">
        <v>41</v>
      </c>
      <c r="C12" s="3" t="s">
        <v>375</v>
      </c>
      <c r="D12" s="2" t="s">
        <v>141</v>
      </c>
      <c r="E12" s="2" t="n">
        <f aca="false">COUNT('Données brutes'!$AP$2:$AP$46)</f>
        <v>45</v>
      </c>
      <c r="F12" s="4" t="n">
        <f aca="false">IFERROR(AVERAGE('Données brutes'!$AP$2:$AP$46),"")</f>
        <v>3.46666666666667</v>
      </c>
      <c r="G12" s="4" t="n">
        <f aca="false">IFERROR(STDEV('Données brutes'!$AP$2:$AP$46),"")</f>
        <v>1.17936808966034</v>
      </c>
      <c r="H12" s="4" t="n">
        <f aca="false">IFERROR(MEDIAN('Données brutes'!$AP$2:$AP$46),"")</f>
        <v>4</v>
      </c>
      <c r="I12" s="2" t="n">
        <f aca="false">COUNTIF('Données brutes'!$AP$2:$AP$46,1)</f>
        <v>3</v>
      </c>
      <c r="J12" s="2" t="n">
        <f aca="false">COUNTIF('Données brutes'!$AP$2:$AP$46,2)</f>
        <v>6</v>
      </c>
      <c r="K12" s="2" t="n">
        <f aca="false">COUNTIF('Données brutes'!$AP$2:$AP$46,3)</f>
        <v>13</v>
      </c>
      <c r="L12" s="2" t="n">
        <f aca="false">COUNTIF('Données brutes'!$AP$2:$AP$46,4)</f>
        <v>13</v>
      </c>
      <c r="M12" s="2" t="n">
        <f aca="false">COUNTIF('Données brutes'!$AP$2:$AP$46,5)</f>
        <v>10</v>
      </c>
      <c r="N12" s="5" t="n">
        <f aca="false">IFERROR(COUNTIF('Données brutes'!$AP$2:$AP$46,1)/COUNT('Données brutes'!$AP$2:$AP$46),"")</f>
        <v>0.0666666666666667</v>
      </c>
      <c r="O12" s="5" t="n">
        <f aca="false">IFERROR(COUNTIF('Données brutes'!$AP$2:$AP$46,2)/COUNT('Données brutes'!$AP$2:$AP$46),"")</f>
        <v>0.133333333333333</v>
      </c>
      <c r="P12" s="5" t="n">
        <f aca="false">IFERROR(COUNTIF('Données brutes'!$AP$2:$AP$46,3)/COUNT('Données brutes'!$AP$2:$AP$46),"")</f>
        <v>0.288888888888889</v>
      </c>
      <c r="Q12" s="5" t="n">
        <f aca="false">IFERROR(COUNTIF('Données brutes'!$AP$2:$AP$46,4)/COUNT('Données brutes'!$AP$2:$AP$46),"")</f>
        <v>0.288888888888889</v>
      </c>
      <c r="R12" s="5" t="n">
        <f aca="false">IFERROR(COUNTIF('Données brutes'!$AP$2:$AP$46,5)/COUNT('Données brutes'!$AP$2:$AP$46),"")</f>
        <v>0.222222222222222</v>
      </c>
      <c r="S12" s="5" t="n">
        <f aca="false">IFERROR(COUNTIF('Données brutes'!$AP$2:$AP$46,"&gt;=4")/COUNT('Données brutes'!$AP$2:$AP$46),"")</f>
        <v>0.511111111111111</v>
      </c>
      <c r="T12" s="5" t="n">
        <f aca="false">IFERROR(COUNTIF('Données brutes'!$AP$2:$AP$46,"&lt;=2")/COUNT('Données brutes'!$AP$2:$AP$46),"")</f>
        <v>0.2</v>
      </c>
      <c r="U12" s="5" t="n">
        <f aca="false">IFERROR(COUNTIF('Données brutes'!$AP$2:$AP$46,3)/COUNT('Données brutes'!$AP$2:$AP$46),"")</f>
        <v>0.288888888888889</v>
      </c>
      <c r="V12" s="2" t="n">
        <f aca="false">45-COUNT('Données brutes'!$AP$2:$AP$46)</f>
        <v>0</v>
      </c>
    </row>
    <row r="13" customFormat="false" ht="23.85" hidden="false" customHeight="false" outlineLevel="0" collapsed="false">
      <c r="A13" s="2" t="s">
        <v>374</v>
      </c>
      <c r="B13" s="2" t="s">
        <v>42</v>
      </c>
      <c r="C13" s="3" t="s">
        <v>376</v>
      </c>
      <c r="D13" s="2"/>
      <c r="E13" s="2" t="n">
        <f aca="false">COUNT('Données brutes'!$AQ$2:$AQ$46)</f>
        <v>42</v>
      </c>
      <c r="F13" s="4" t="n">
        <f aca="false">IFERROR(AVERAGE('Données brutes'!$AQ$2:$AQ$46),"")</f>
        <v>3.64285714285714</v>
      </c>
      <c r="G13" s="4" t="n">
        <f aca="false">IFERROR(STDEV('Données brutes'!$AQ$2:$AQ$46),"")</f>
        <v>1.10036420958164</v>
      </c>
      <c r="H13" s="4" t="n">
        <f aca="false">IFERROR(MEDIAN('Données brutes'!$AQ$2:$AQ$46),"")</f>
        <v>4</v>
      </c>
      <c r="I13" s="2" t="n">
        <f aca="false">COUNTIF('Données brutes'!$AQ$2:$AQ$46,1)</f>
        <v>1</v>
      </c>
      <c r="J13" s="2" t="n">
        <f aca="false">COUNTIF('Données brutes'!$AQ$2:$AQ$46,2)</f>
        <v>5</v>
      </c>
      <c r="K13" s="2" t="n">
        <f aca="false">COUNTIF('Données brutes'!$AQ$2:$AQ$46,3)</f>
        <v>14</v>
      </c>
      <c r="L13" s="2" t="n">
        <f aca="false">COUNTIF('Données brutes'!$AQ$2:$AQ$46,4)</f>
        <v>10</v>
      </c>
      <c r="M13" s="2" t="n">
        <f aca="false">COUNTIF('Données brutes'!$AQ$2:$AQ$46,5)</f>
        <v>12</v>
      </c>
      <c r="N13" s="5" t="n">
        <f aca="false">IFERROR(COUNTIF('Données brutes'!$AQ$2:$AQ$46,1)/COUNT('Données brutes'!$AQ$2:$AQ$46),"")</f>
        <v>0.0238095238095238</v>
      </c>
      <c r="O13" s="5" t="n">
        <f aca="false">IFERROR(COUNTIF('Données brutes'!$AQ$2:$AQ$46,2)/COUNT('Données brutes'!$AQ$2:$AQ$46),"")</f>
        <v>0.119047619047619</v>
      </c>
      <c r="P13" s="5" t="n">
        <f aca="false">IFERROR(COUNTIF('Données brutes'!$AQ$2:$AQ$46,3)/COUNT('Données brutes'!$AQ$2:$AQ$46),"")</f>
        <v>0.333333333333333</v>
      </c>
      <c r="Q13" s="5" t="n">
        <f aca="false">IFERROR(COUNTIF('Données brutes'!$AQ$2:$AQ$46,4)/COUNT('Données brutes'!$AQ$2:$AQ$46),"")</f>
        <v>0.238095238095238</v>
      </c>
      <c r="R13" s="5" t="n">
        <f aca="false">IFERROR(COUNTIF('Données brutes'!$AQ$2:$AQ$46,5)/COUNT('Données brutes'!$AQ$2:$AQ$46),"")</f>
        <v>0.285714285714286</v>
      </c>
      <c r="S13" s="5" t="n">
        <f aca="false">IFERROR(COUNTIF('Données brutes'!$AQ$2:$AQ$46,"&gt;=4")/COUNT('Données brutes'!$AQ$2:$AQ$46),"")</f>
        <v>0.523809523809524</v>
      </c>
      <c r="T13" s="5" t="n">
        <f aca="false">IFERROR(COUNTIF('Données brutes'!$AQ$2:$AQ$46,"&lt;=2")/COUNT('Données brutes'!$AQ$2:$AQ$46),"")</f>
        <v>0.142857142857143</v>
      </c>
      <c r="U13" s="5" t="n">
        <f aca="false">IFERROR(COUNTIF('Données brutes'!$AQ$2:$AQ$46,3)/COUNT('Données brutes'!$AQ$2:$AQ$46),"")</f>
        <v>0.333333333333333</v>
      </c>
      <c r="V13" s="2" t="n">
        <f aca="false">45-COUNT('Données brutes'!$AQ$2:$AQ$46)</f>
        <v>3</v>
      </c>
    </row>
    <row r="14" customFormat="false" ht="15" hidden="false" customHeight="false" outlineLevel="0" collapsed="false">
      <c r="A14" s="2" t="s">
        <v>374</v>
      </c>
      <c r="B14" s="2" t="s">
        <v>43</v>
      </c>
      <c r="C14" s="3" t="s">
        <v>377</v>
      </c>
      <c r="D14" s="2"/>
      <c r="E14" s="2" t="n">
        <f aca="false">COUNT('Données brutes'!$AR$2:$AR$46)</f>
        <v>42</v>
      </c>
      <c r="F14" s="4" t="n">
        <f aca="false">IFERROR(AVERAGE('Données brutes'!$AR$2:$AR$46),"")</f>
        <v>3.14285714285714</v>
      </c>
      <c r="G14" s="4" t="n">
        <f aca="false">IFERROR(STDEV('Données brutes'!$AR$2:$AR$46),"")</f>
        <v>1.2986189394221</v>
      </c>
      <c r="H14" s="4" t="n">
        <f aca="false">IFERROR(MEDIAN('Données brutes'!$AR$2:$AR$46),"")</f>
        <v>3</v>
      </c>
      <c r="I14" s="2" t="n">
        <f aca="false">COUNTIF('Données brutes'!$AR$2:$AR$46,1)</f>
        <v>7</v>
      </c>
      <c r="J14" s="2" t="n">
        <f aca="false">COUNTIF('Données brutes'!$AR$2:$AR$46,2)</f>
        <v>5</v>
      </c>
      <c r="K14" s="2" t="n">
        <f aca="false">COUNTIF('Données brutes'!$AR$2:$AR$46,3)</f>
        <v>11</v>
      </c>
      <c r="L14" s="2" t="n">
        <f aca="false">COUNTIF('Données brutes'!$AR$2:$AR$46,4)</f>
        <v>13</v>
      </c>
      <c r="M14" s="2" t="n">
        <f aca="false">COUNTIF('Données brutes'!$AR$2:$AR$46,5)</f>
        <v>6</v>
      </c>
      <c r="N14" s="5" t="n">
        <f aca="false">IFERROR(COUNTIF('Données brutes'!$AR$2:$AR$46,1)/COUNT('Données brutes'!$AR$2:$AR$46),"")</f>
        <v>0.166666666666667</v>
      </c>
      <c r="O14" s="5" t="n">
        <f aca="false">IFERROR(COUNTIF('Données brutes'!$AR$2:$AR$46,2)/COUNT('Données brutes'!$AR$2:$AR$46),"")</f>
        <v>0.119047619047619</v>
      </c>
      <c r="P14" s="5" t="n">
        <f aca="false">IFERROR(COUNTIF('Données brutes'!$AR$2:$AR$46,3)/COUNT('Données brutes'!$AR$2:$AR$46),"")</f>
        <v>0.261904761904762</v>
      </c>
      <c r="Q14" s="5" t="n">
        <f aca="false">IFERROR(COUNTIF('Données brutes'!$AR$2:$AR$46,4)/COUNT('Données brutes'!$AR$2:$AR$46),"")</f>
        <v>0.30952380952381</v>
      </c>
      <c r="R14" s="5" t="n">
        <f aca="false">IFERROR(COUNTIF('Données brutes'!$AR$2:$AR$46,5)/COUNT('Données brutes'!$AR$2:$AR$46),"")</f>
        <v>0.142857142857143</v>
      </c>
      <c r="S14" s="5" t="n">
        <f aca="false">IFERROR(COUNTIF('Données brutes'!$AR$2:$AR$46,"&gt;=4")/COUNT('Données brutes'!$AR$2:$AR$46),"")</f>
        <v>0.452380952380952</v>
      </c>
      <c r="T14" s="5" t="n">
        <f aca="false">IFERROR(COUNTIF('Données brutes'!$AR$2:$AR$46,"&lt;=2")/COUNT('Données brutes'!$AR$2:$AR$46),"")</f>
        <v>0.285714285714286</v>
      </c>
      <c r="U14" s="5" t="n">
        <f aca="false">IFERROR(COUNTIF('Données brutes'!$AR$2:$AR$46,3)/COUNT('Données brutes'!$AR$2:$AR$46),"")</f>
        <v>0.261904761904762</v>
      </c>
      <c r="V14" s="2" t="n">
        <f aca="false">45-COUNT('Données brutes'!$AR$2:$AR$46)</f>
        <v>3</v>
      </c>
    </row>
    <row r="15" customFormat="false" ht="23.85" hidden="false" customHeight="false" outlineLevel="0" collapsed="false">
      <c r="A15" s="2" t="s">
        <v>374</v>
      </c>
      <c r="B15" s="2" t="s">
        <v>44</v>
      </c>
      <c r="C15" s="3" t="s">
        <v>378</v>
      </c>
      <c r="D15" s="2"/>
      <c r="E15" s="2" t="n">
        <f aca="false">COUNT('Données brutes'!$AS$2:$AS$46)</f>
        <v>44</v>
      </c>
      <c r="F15" s="4" t="n">
        <f aca="false">IFERROR(AVERAGE('Données brutes'!$AS$2:$AS$46),"")</f>
        <v>2.86363636363636</v>
      </c>
      <c r="G15" s="4" t="n">
        <f aca="false">IFERROR(STDEV('Données brutes'!$AS$2:$AS$46),"")</f>
        <v>1.28662003734879</v>
      </c>
      <c r="H15" s="4" t="n">
        <f aca="false">IFERROR(MEDIAN('Données brutes'!$AS$2:$AS$46),"")</f>
        <v>3</v>
      </c>
      <c r="I15" s="2" t="n">
        <f aca="false">COUNTIF('Données brutes'!$AS$2:$AS$46,1)</f>
        <v>9</v>
      </c>
      <c r="J15" s="2" t="n">
        <f aca="false">COUNTIF('Données brutes'!$AS$2:$AS$46,2)</f>
        <v>7</v>
      </c>
      <c r="K15" s="2" t="n">
        <f aca="false">COUNTIF('Données brutes'!$AS$2:$AS$46,3)</f>
        <v>14</v>
      </c>
      <c r="L15" s="2" t="n">
        <f aca="false">COUNTIF('Données brutes'!$AS$2:$AS$46,4)</f>
        <v>9</v>
      </c>
      <c r="M15" s="2" t="n">
        <f aca="false">COUNTIF('Données brutes'!$AS$2:$AS$46,5)</f>
        <v>5</v>
      </c>
      <c r="N15" s="5" t="n">
        <f aca="false">IFERROR(COUNTIF('Données brutes'!$AS$2:$AS$46,1)/COUNT('Données brutes'!$AS$2:$AS$46),"")</f>
        <v>0.204545454545455</v>
      </c>
      <c r="O15" s="5" t="n">
        <f aca="false">IFERROR(COUNTIF('Données brutes'!$AS$2:$AS$46,2)/COUNT('Données brutes'!$AS$2:$AS$46),"")</f>
        <v>0.159090909090909</v>
      </c>
      <c r="P15" s="5" t="n">
        <f aca="false">IFERROR(COUNTIF('Données brutes'!$AS$2:$AS$46,3)/COUNT('Données brutes'!$AS$2:$AS$46),"")</f>
        <v>0.318181818181818</v>
      </c>
      <c r="Q15" s="5" t="n">
        <f aca="false">IFERROR(COUNTIF('Données brutes'!$AS$2:$AS$46,4)/COUNT('Données brutes'!$AS$2:$AS$46),"")</f>
        <v>0.204545454545455</v>
      </c>
      <c r="R15" s="5" t="n">
        <f aca="false">IFERROR(COUNTIF('Données brutes'!$AS$2:$AS$46,5)/COUNT('Données brutes'!$AS$2:$AS$46),"")</f>
        <v>0.113636363636364</v>
      </c>
      <c r="S15" s="5" t="n">
        <f aca="false">IFERROR(COUNTIF('Données brutes'!$AS$2:$AS$46,"&gt;=4")/COUNT('Données brutes'!$AS$2:$AS$46),"")</f>
        <v>0.318181818181818</v>
      </c>
      <c r="T15" s="5" t="n">
        <f aca="false">IFERROR(COUNTIF('Données brutes'!$AS$2:$AS$46,"&lt;=2")/COUNT('Données brutes'!$AS$2:$AS$46),"")</f>
        <v>0.363636363636364</v>
      </c>
      <c r="U15" s="5" t="n">
        <f aca="false">IFERROR(COUNTIF('Données brutes'!$AS$2:$AS$46,3)/COUNT('Données brutes'!$AS$2:$AS$46),"")</f>
        <v>0.318181818181818</v>
      </c>
      <c r="V15" s="2" t="n">
        <f aca="false">45-COUNT('Données brutes'!$AS$2:$AS$46)</f>
        <v>1</v>
      </c>
    </row>
    <row r="16" customFormat="false" ht="23.85" hidden="false" customHeight="false" outlineLevel="0" collapsed="false">
      <c r="A16" s="2" t="s">
        <v>374</v>
      </c>
      <c r="B16" s="2" t="s">
        <v>45</v>
      </c>
      <c r="C16" s="3" t="s">
        <v>379</v>
      </c>
      <c r="D16" s="2"/>
      <c r="E16" s="2" t="n">
        <f aca="false">COUNT('Données brutes'!$AT$2:$AT$46)</f>
        <v>45</v>
      </c>
      <c r="F16" s="4" t="n">
        <f aca="false">IFERROR(AVERAGE('Données brutes'!$AT$2:$AT$46),"")</f>
        <v>3.46666666666667</v>
      </c>
      <c r="G16" s="4" t="n">
        <f aca="false">IFERROR(STDEV('Données brutes'!$AT$2:$AT$46),"")</f>
        <v>1.14017542509914</v>
      </c>
      <c r="H16" s="4" t="n">
        <f aca="false">IFERROR(MEDIAN('Données brutes'!$AT$2:$AT$46),"")</f>
        <v>3</v>
      </c>
      <c r="I16" s="2" t="n">
        <f aca="false">COUNTIF('Données brutes'!$AT$2:$AT$46,1)</f>
        <v>1</v>
      </c>
      <c r="J16" s="2" t="n">
        <f aca="false">COUNTIF('Données brutes'!$AT$2:$AT$46,2)</f>
        <v>9</v>
      </c>
      <c r="K16" s="2" t="n">
        <f aca="false">COUNTIF('Données brutes'!$AT$2:$AT$46,3)</f>
        <v>14</v>
      </c>
      <c r="L16" s="2" t="n">
        <f aca="false">COUNTIF('Données brutes'!$AT$2:$AT$46,4)</f>
        <v>10</v>
      </c>
      <c r="M16" s="2" t="n">
        <f aca="false">COUNTIF('Données brutes'!$AT$2:$AT$46,5)</f>
        <v>11</v>
      </c>
      <c r="N16" s="5" t="n">
        <f aca="false">IFERROR(COUNTIF('Données brutes'!$AT$2:$AT$46,1)/COUNT('Données brutes'!$AT$2:$AT$46),"")</f>
        <v>0.0222222222222222</v>
      </c>
      <c r="O16" s="5" t="n">
        <f aca="false">IFERROR(COUNTIF('Données brutes'!$AT$2:$AT$46,2)/COUNT('Données brutes'!$AT$2:$AT$46),"")</f>
        <v>0.2</v>
      </c>
      <c r="P16" s="5" t="n">
        <f aca="false">IFERROR(COUNTIF('Données brutes'!$AT$2:$AT$46,3)/COUNT('Données brutes'!$AT$2:$AT$46),"")</f>
        <v>0.311111111111111</v>
      </c>
      <c r="Q16" s="5" t="n">
        <f aca="false">IFERROR(COUNTIF('Données brutes'!$AT$2:$AT$46,4)/COUNT('Données brutes'!$AT$2:$AT$46),"")</f>
        <v>0.222222222222222</v>
      </c>
      <c r="R16" s="5" t="n">
        <f aca="false">IFERROR(COUNTIF('Données brutes'!$AT$2:$AT$46,5)/COUNT('Données brutes'!$AT$2:$AT$46),"")</f>
        <v>0.244444444444444</v>
      </c>
      <c r="S16" s="5" t="n">
        <f aca="false">IFERROR(COUNTIF('Données brutes'!$AT$2:$AT$46,"&gt;=4")/COUNT('Données brutes'!$AT$2:$AT$46),"")</f>
        <v>0.466666666666667</v>
      </c>
      <c r="T16" s="5" t="n">
        <f aca="false">IFERROR(COUNTIF('Données brutes'!$AT$2:$AT$46,"&lt;=2")/COUNT('Données brutes'!$AT$2:$AT$46),"")</f>
        <v>0.222222222222222</v>
      </c>
      <c r="U16" s="5" t="n">
        <f aca="false">IFERROR(COUNTIF('Données brutes'!$AT$2:$AT$46,3)/COUNT('Données brutes'!$AT$2:$AT$46),"")</f>
        <v>0.311111111111111</v>
      </c>
      <c r="V16" s="2" t="n">
        <f aca="false">45-COUNT('Données brutes'!$AT$2:$AT$46)</f>
        <v>0</v>
      </c>
    </row>
    <row r="17" customFormat="false" ht="23.85" hidden="false" customHeight="false" outlineLevel="0" collapsed="false">
      <c r="A17" s="2" t="s">
        <v>374</v>
      </c>
      <c r="B17" s="2" t="s">
        <v>46</v>
      </c>
      <c r="C17" s="3" t="s">
        <v>380</v>
      </c>
      <c r="D17" s="2"/>
      <c r="E17" s="2" t="n">
        <f aca="false">COUNT('Données brutes'!$AU$2:$AU$46)</f>
        <v>41</v>
      </c>
      <c r="F17" s="4" t="n">
        <f aca="false">IFERROR(AVERAGE('Données brutes'!$AU$2:$AU$46),"")</f>
        <v>3.09756097560976</v>
      </c>
      <c r="G17" s="4" t="n">
        <f aca="false">IFERROR(STDEV('Données brutes'!$AU$2:$AU$46),"")</f>
        <v>1.20010162171335</v>
      </c>
      <c r="H17" s="4" t="n">
        <f aca="false">IFERROR(MEDIAN('Données brutes'!$AU$2:$AU$46),"")</f>
        <v>3</v>
      </c>
      <c r="I17" s="2" t="n">
        <f aca="false">COUNTIF('Données brutes'!$AU$2:$AU$46,1)</f>
        <v>6</v>
      </c>
      <c r="J17" s="2" t="n">
        <f aca="false">COUNTIF('Données brutes'!$AU$2:$AU$46,2)</f>
        <v>5</v>
      </c>
      <c r="K17" s="2" t="n">
        <f aca="false">COUNTIF('Données brutes'!$AU$2:$AU$46,3)</f>
        <v>13</v>
      </c>
      <c r="L17" s="2" t="n">
        <f aca="false">COUNTIF('Données brutes'!$AU$2:$AU$46,4)</f>
        <v>13</v>
      </c>
      <c r="M17" s="2" t="n">
        <f aca="false">COUNTIF('Données brutes'!$AU$2:$AU$46,5)</f>
        <v>4</v>
      </c>
      <c r="N17" s="5" t="n">
        <f aca="false">IFERROR(COUNTIF('Données brutes'!$AU$2:$AU$46,1)/COUNT('Données brutes'!$AU$2:$AU$46),"")</f>
        <v>0.146341463414634</v>
      </c>
      <c r="O17" s="5" t="n">
        <f aca="false">IFERROR(COUNTIF('Données brutes'!$AU$2:$AU$46,2)/COUNT('Données brutes'!$AU$2:$AU$46),"")</f>
        <v>0.121951219512195</v>
      </c>
      <c r="P17" s="5" t="n">
        <f aca="false">IFERROR(COUNTIF('Données brutes'!$AU$2:$AU$46,3)/COUNT('Données brutes'!$AU$2:$AU$46),"")</f>
        <v>0.317073170731707</v>
      </c>
      <c r="Q17" s="5" t="n">
        <f aca="false">IFERROR(COUNTIF('Données brutes'!$AU$2:$AU$46,4)/COUNT('Données brutes'!$AU$2:$AU$46),"")</f>
        <v>0.317073170731707</v>
      </c>
      <c r="R17" s="5" t="n">
        <f aca="false">IFERROR(COUNTIF('Données brutes'!$AU$2:$AU$46,5)/COUNT('Données brutes'!$AU$2:$AU$46),"")</f>
        <v>0.0975609756097561</v>
      </c>
      <c r="S17" s="5" t="n">
        <f aca="false">IFERROR(COUNTIF('Données brutes'!$AU$2:$AU$46,"&gt;=4")/COUNT('Données brutes'!$AU$2:$AU$46),"")</f>
        <v>0.414634146341463</v>
      </c>
      <c r="T17" s="5" t="n">
        <f aca="false">IFERROR(COUNTIF('Données brutes'!$AU$2:$AU$46,"&lt;=2")/COUNT('Données brutes'!$AU$2:$AU$46),"")</f>
        <v>0.268292682926829</v>
      </c>
      <c r="U17" s="5" t="n">
        <f aca="false">IFERROR(COUNTIF('Données brutes'!$AU$2:$AU$46,3)/COUNT('Données brutes'!$AU$2:$AU$46),"")</f>
        <v>0.317073170731707</v>
      </c>
      <c r="V17" s="2" t="n">
        <f aca="false">45-COUNT('Données brutes'!$AU$2:$AU$46)</f>
        <v>4</v>
      </c>
    </row>
    <row r="18" customFormat="false" ht="23.85" hidden="false" customHeight="false" outlineLevel="0" collapsed="false">
      <c r="A18" s="2" t="s">
        <v>382</v>
      </c>
      <c r="B18" s="2" t="s">
        <v>54</v>
      </c>
      <c r="C18" s="3" t="s">
        <v>386</v>
      </c>
      <c r="D18" s="2"/>
      <c r="E18" s="2" t="n">
        <f aca="false">COUNT('Données brutes'!$BC$2:$BC$46)</f>
        <v>45</v>
      </c>
      <c r="F18" s="4" t="n">
        <f aca="false">IFERROR(AVERAGE('Données brutes'!$BC$2:$BC$46),"")</f>
        <v>3.22222222222222</v>
      </c>
      <c r="G18" s="4" t="n">
        <f aca="false">IFERROR(STDEV('Données brutes'!$BC$2:$BC$46),"")</f>
        <v>1.32954005869578</v>
      </c>
      <c r="H18" s="4" t="n">
        <f aca="false">IFERROR(MEDIAN('Données brutes'!$BC$2:$BC$46),"")</f>
        <v>3</v>
      </c>
      <c r="I18" s="2" t="n">
        <f aca="false">COUNTIF('Données brutes'!$BC$2:$BC$46,1)</f>
        <v>7</v>
      </c>
      <c r="J18" s="2" t="n">
        <f aca="false">COUNTIF('Données brutes'!$BC$2:$BC$46,2)</f>
        <v>5</v>
      </c>
      <c r="K18" s="2" t="n">
        <f aca="false">COUNTIF('Données brutes'!$BC$2:$BC$46,3)</f>
        <v>13</v>
      </c>
      <c r="L18" s="2" t="n">
        <f aca="false">COUNTIF('Données brutes'!$BC$2:$BC$46,4)</f>
        <v>11</v>
      </c>
      <c r="M18" s="2" t="n">
        <f aca="false">COUNTIF('Données brutes'!$BC$2:$BC$46,5)</f>
        <v>9</v>
      </c>
      <c r="N18" s="5" t="n">
        <f aca="false">IFERROR(COUNTIF('Données brutes'!$BC$2:$BC$46,1)/COUNT('Données brutes'!$BC$2:$BC$46),"")</f>
        <v>0.155555555555556</v>
      </c>
      <c r="O18" s="5" t="n">
        <f aca="false">IFERROR(COUNTIF('Données brutes'!$BC$2:$BC$46,2)/COUNT('Données brutes'!$BC$2:$BC$46),"")</f>
        <v>0.111111111111111</v>
      </c>
      <c r="P18" s="5" t="n">
        <f aca="false">IFERROR(COUNTIF('Données brutes'!$BC$2:$BC$46,3)/COUNT('Données brutes'!$BC$2:$BC$46),"")</f>
        <v>0.288888888888889</v>
      </c>
      <c r="Q18" s="5" t="n">
        <f aca="false">IFERROR(COUNTIF('Données brutes'!$BC$2:$BC$46,4)/COUNT('Données brutes'!$BC$2:$BC$46),"")</f>
        <v>0.244444444444444</v>
      </c>
      <c r="R18" s="5" t="n">
        <f aca="false">IFERROR(COUNTIF('Données brutes'!$BC$2:$BC$46,5)/COUNT('Données brutes'!$BC$2:$BC$46),"")</f>
        <v>0.2</v>
      </c>
      <c r="S18" s="5" t="n">
        <f aca="false">IFERROR(COUNTIF('Données brutes'!$BC$2:$BC$46,"&gt;=4")/COUNT('Données brutes'!$BC$2:$BC$46),"")</f>
        <v>0.444444444444444</v>
      </c>
      <c r="T18" s="5" t="n">
        <f aca="false">IFERROR(COUNTIF('Données brutes'!$BC$2:$BC$46,"&lt;=2")/COUNT('Données brutes'!$BC$2:$BC$46),"")</f>
        <v>0.266666666666667</v>
      </c>
      <c r="U18" s="5" t="n">
        <f aca="false">IFERROR(COUNTIF('Données brutes'!$BC$2:$BC$46,3)/COUNT('Données brutes'!$BC$2:$BC$46),"")</f>
        <v>0.288888888888889</v>
      </c>
      <c r="V18" s="2" t="n">
        <f aca="false">45-COUNT('Données brutes'!$BC$2:$BC$46)</f>
        <v>0</v>
      </c>
    </row>
    <row r="19" customFormat="false" ht="23.85" hidden="false" customHeight="false" outlineLevel="0" collapsed="false">
      <c r="A19" s="2" t="s">
        <v>382</v>
      </c>
      <c r="B19" s="2" t="s">
        <v>55</v>
      </c>
      <c r="C19" s="3" t="s">
        <v>387</v>
      </c>
      <c r="D19" s="2"/>
      <c r="E19" s="2" t="n">
        <f aca="false">COUNT('Données brutes'!$BD$2:$BD$46)</f>
        <v>44</v>
      </c>
      <c r="F19" s="4" t="n">
        <f aca="false">IFERROR(AVERAGE('Données brutes'!$BD$2:$BD$46),"")</f>
        <v>3.25</v>
      </c>
      <c r="G19" s="4" t="n">
        <f aca="false">IFERROR(STDEV('Données brutes'!$BD$2:$BD$46),"")</f>
        <v>1.20319342526655</v>
      </c>
      <c r="H19" s="4" t="n">
        <f aca="false">IFERROR(MEDIAN('Données brutes'!$BD$2:$BD$46),"")</f>
        <v>3</v>
      </c>
      <c r="I19" s="2" t="n">
        <f aca="false">COUNTIF('Données brutes'!$BD$2:$BD$46,1)</f>
        <v>3</v>
      </c>
      <c r="J19" s="2" t="n">
        <f aca="false">COUNTIF('Données brutes'!$BD$2:$BD$46,2)</f>
        <v>10</v>
      </c>
      <c r="K19" s="2" t="n">
        <f aca="false">COUNTIF('Données brutes'!$BD$2:$BD$46,3)</f>
        <v>12</v>
      </c>
      <c r="L19" s="2" t="n">
        <f aca="false">COUNTIF('Données brutes'!$BD$2:$BD$46,4)</f>
        <v>11</v>
      </c>
      <c r="M19" s="2" t="n">
        <f aca="false">COUNTIF('Données brutes'!$BD$2:$BD$46,5)</f>
        <v>8</v>
      </c>
      <c r="N19" s="5" t="n">
        <f aca="false">IFERROR(COUNTIF('Données brutes'!$BD$2:$BD$46,1)/COUNT('Données brutes'!$BD$2:$BD$46),"")</f>
        <v>0.0681818181818182</v>
      </c>
      <c r="O19" s="5" t="n">
        <f aca="false">IFERROR(COUNTIF('Données brutes'!$BD$2:$BD$46,2)/COUNT('Données brutes'!$BD$2:$BD$46),"")</f>
        <v>0.227272727272727</v>
      </c>
      <c r="P19" s="5" t="n">
        <f aca="false">IFERROR(COUNTIF('Données brutes'!$BD$2:$BD$46,3)/COUNT('Données brutes'!$BD$2:$BD$46),"")</f>
        <v>0.272727272727273</v>
      </c>
      <c r="Q19" s="5" t="n">
        <f aca="false">IFERROR(COUNTIF('Données brutes'!$BD$2:$BD$46,4)/COUNT('Données brutes'!$BD$2:$BD$46),"")</f>
        <v>0.25</v>
      </c>
      <c r="R19" s="5" t="n">
        <f aca="false">IFERROR(COUNTIF('Données brutes'!$BD$2:$BD$46,5)/COUNT('Données brutes'!$BD$2:$BD$46),"")</f>
        <v>0.181818181818182</v>
      </c>
      <c r="S19" s="5" t="n">
        <f aca="false">IFERROR(COUNTIF('Données brutes'!$BD$2:$BD$46,"&gt;=4")/COUNT('Données brutes'!$BD$2:$BD$46),"")</f>
        <v>0.431818181818182</v>
      </c>
      <c r="T19" s="5" t="n">
        <f aca="false">IFERROR(COUNTIF('Données brutes'!$BD$2:$BD$46,"&lt;=2")/COUNT('Données brutes'!$BD$2:$BD$46),"")</f>
        <v>0.295454545454545</v>
      </c>
      <c r="U19" s="5" t="n">
        <f aca="false">IFERROR(COUNTIF('Données brutes'!$BD$2:$BD$46,3)/COUNT('Données brutes'!$BD$2:$BD$46),"")</f>
        <v>0.272727272727273</v>
      </c>
      <c r="V19" s="2" t="n">
        <f aca="false">45-COUNT('Données brutes'!$BD$2:$BD$46)</f>
        <v>1</v>
      </c>
    </row>
    <row r="20" customFormat="false" ht="15" hidden="false" customHeight="false" outlineLevel="0" collapsed="false">
      <c r="A20" s="2" t="s">
        <v>382</v>
      </c>
      <c r="B20" s="2" t="s">
        <v>56</v>
      </c>
      <c r="C20" s="3" t="s">
        <v>388</v>
      </c>
      <c r="D20" s="2"/>
      <c r="E20" s="2" t="n">
        <f aca="false">COUNT('Données brutes'!$BE$2:$BE$46)</f>
        <v>42</v>
      </c>
      <c r="F20" s="4" t="n">
        <f aca="false">IFERROR(AVERAGE('Données brutes'!$BE$2:$BE$46),"")</f>
        <v>3.02380952380952</v>
      </c>
      <c r="G20" s="4" t="n">
        <f aca="false">IFERROR(STDEV('Données brutes'!$BE$2:$BE$46),"")</f>
        <v>1.19935135392052</v>
      </c>
      <c r="H20" s="4" t="n">
        <f aca="false">IFERROR(MEDIAN('Données brutes'!$BE$2:$BE$46),"")</f>
        <v>3</v>
      </c>
      <c r="I20" s="2" t="n">
        <f aca="false">COUNTIF('Données brutes'!$BE$2:$BE$46,1)</f>
        <v>5</v>
      </c>
      <c r="J20" s="2" t="n">
        <f aca="false">COUNTIF('Données brutes'!$BE$2:$BE$46,2)</f>
        <v>9</v>
      </c>
      <c r="K20" s="2" t="n">
        <f aca="false">COUNTIF('Données brutes'!$BE$2:$BE$46,3)</f>
        <v>13</v>
      </c>
      <c r="L20" s="2" t="n">
        <f aca="false">COUNTIF('Données brutes'!$BE$2:$BE$46,4)</f>
        <v>10</v>
      </c>
      <c r="M20" s="2" t="n">
        <f aca="false">COUNTIF('Données brutes'!$BE$2:$BE$46,5)</f>
        <v>5</v>
      </c>
      <c r="N20" s="5" t="n">
        <f aca="false">IFERROR(COUNTIF('Données brutes'!$BE$2:$BE$46,1)/COUNT('Données brutes'!$BE$2:$BE$46),"")</f>
        <v>0.119047619047619</v>
      </c>
      <c r="O20" s="5" t="n">
        <f aca="false">IFERROR(COUNTIF('Données brutes'!$BE$2:$BE$46,2)/COUNT('Données brutes'!$BE$2:$BE$46),"")</f>
        <v>0.214285714285714</v>
      </c>
      <c r="P20" s="5" t="n">
        <f aca="false">IFERROR(COUNTIF('Données brutes'!$BE$2:$BE$46,3)/COUNT('Données brutes'!$BE$2:$BE$46),"")</f>
        <v>0.30952380952381</v>
      </c>
      <c r="Q20" s="5" t="n">
        <f aca="false">IFERROR(COUNTIF('Données brutes'!$BE$2:$BE$46,4)/COUNT('Données brutes'!$BE$2:$BE$46),"")</f>
        <v>0.238095238095238</v>
      </c>
      <c r="R20" s="5" t="n">
        <f aca="false">IFERROR(COUNTIF('Données brutes'!$BE$2:$BE$46,5)/COUNT('Données brutes'!$BE$2:$BE$46),"")</f>
        <v>0.119047619047619</v>
      </c>
      <c r="S20" s="5" t="n">
        <f aca="false">IFERROR(COUNTIF('Données brutes'!$BE$2:$BE$46,"&gt;=4")/COUNT('Données brutes'!$BE$2:$BE$46),"")</f>
        <v>0.357142857142857</v>
      </c>
      <c r="T20" s="5" t="n">
        <f aca="false">IFERROR(COUNTIF('Données brutes'!$BE$2:$BE$46,"&lt;=2")/COUNT('Données brutes'!$BE$2:$BE$46),"")</f>
        <v>0.333333333333333</v>
      </c>
      <c r="U20" s="5" t="n">
        <f aca="false">IFERROR(COUNTIF('Données brutes'!$BE$2:$BE$46,3)/COUNT('Données brutes'!$BE$2:$BE$46),"")</f>
        <v>0.30952380952381</v>
      </c>
      <c r="V20" s="2" t="n">
        <f aca="false">45-COUNT('Données brutes'!$BE$2:$BE$46)</f>
        <v>3</v>
      </c>
    </row>
    <row r="21" customFormat="false" ht="23.85" hidden="false" customHeight="false" outlineLevel="0" collapsed="false">
      <c r="A21" s="2" t="s">
        <v>382</v>
      </c>
      <c r="B21" s="2" t="s">
        <v>57</v>
      </c>
      <c r="C21" s="3" t="s">
        <v>389</v>
      </c>
      <c r="D21" s="2"/>
      <c r="E21" s="2" t="n">
        <f aca="false">COUNT('Données brutes'!$BF$2:$BF$46)</f>
        <v>43</v>
      </c>
      <c r="F21" s="4" t="n">
        <f aca="false">IFERROR(AVERAGE('Données brutes'!$BF$2:$BF$46),"")</f>
        <v>3.2093023255814</v>
      </c>
      <c r="G21" s="4" t="n">
        <f aca="false">IFERROR(STDEV('Données brutes'!$BF$2:$BF$46),"")</f>
        <v>1.2828194308387</v>
      </c>
      <c r="H21" s="4" t="n">
        <f aca="false">IFERROR(MEDIAN('Données brutes'!$BF$2:$BF$46),"")</f>
        <v>3</v>
      </c>
      <c r="I21" s="2" t="n">
        <f aca="false">COUNTIF('Données brutes'!$BF$2:$BF$46,1)</f>
        <v>3</v>
      </c>
      <c r="J21" s="2" t="n">
        <f aca="false">COUNTIF('Données brutes'!$BF$2:$BF$46,2)</f>
        <v>14</v>
      </c>
      <c r="K21" s="2" t="n">
        <f aca="false">COUNTIF('Données brutes'!$BF$2:$BF$46,3)</f>
        <v>5</v>
      </c>
      <c r="L21" s="2" t="n">
        <f aca="false">COUNTIF('Données brutes'!$BF$2:$BF$46,4)</f>
        <v>13</v>
      </c>
      <c r="M21" s="2" t="n">
        <f aca="false">COUNTIF('Données brutes'!$BF$2:$BF$46,5)</f>
        <v>8</v>
      </c>
      <c r="N21" s="5" t="n">
        <f aca="false">IFERROR(COUNTIF('Données brutes'!$BF$2:$BF$46,1)/COUNT('Données brutes'!$BF$2:$BF$46),"")</f>
        <v>0.0697674418604651</v>
      </c>
      <c r="O21" s="5" t="n">
        <f aca="false">IFERROR(COUNTIF('Données brutes'!$BF$2:$BF$46,2)/COUNT('Données brutes'!$BF$2:$BF$46),"")</f>
        <v>0.325581395348837</v>
      </c>
      <c r="P21" s="5" t="n">
        <f aca="false">IFERROR(COUNTIF('Données brutes'!$BF$2:$BF$46,3)/COUNT('Données brutes'!$BF$2:$BF$46),"")</f>
        <v>0.116279069767442</v>
      </c>
      <c r="Q21" s="5" t="n">
        <f aca="false">IFERROR(COUNTIF('Données brutes'!$BF$2:$BF$46,4)/COUNT('Données brutes'!$BF$2:$BF$46),"")</f>
        <v>0.302325581395349</v>
      </c>
      <c r="R21" s="5" t="n">
        <f aca="false">IFERROR(COUNTIF('Données brutes'!$BF$2:$BF$46,5)/COUNT('Données brutes'!$BF$2:$BF$46),"")</f>
        <v>0.186046511627907</v>
      </c>
      <c r="S21" s="5" t="n">
        <f aca="false">IFERROR(COUNTIF('Données brutes'!$BF$2:$BF$46,"&gt;=4")/COUNT('Données brutes'!$BF$2:$BF$46),"")</f>
        <v>0.488372093023256</v>
      </c>
      <c r="T21" s="5" t="n">
        <f aca="false">IFERROR(COUNTIF('Données brutes'!$BF$2:$BF$46,"&lt;=2")/COUNT('Données brutes'!$BF$2:$BF$46),"")</f>
        <v>0.395348837209302</v>
      </c>
      <c r="U21" s="5" t="n">
        <f aca="false">IFERROR(COUNTIF('Données brutes'!$BF$2:$BF$46,3)/COUNT('Données brutes'!$BF$2:$BF$46),"")</f>
        <v>0.116279069767442</v>
      </c>
      <c r="V21" s="2" t="n">
        <f aca="false">45-COUNT('Données brutes'!$BF$2:$BF$46)</f>
        <v>2</v>
      </c>
    </row>
    <row r="22" customFormat="false" ht="23.85" hidden="false" customHeight="false" outlineLevel="0" collapsed="false">
      <c r="A22" s="2" t="s">
        <v>382</v>
      </c>
      <c r="B22" s="2" t="s">
        <v>58</v>
      </c>
      <c r="C22" s="3" t="s">
        <v>390</v>
      </c>
      <c r="D22" s="2" t="s">
        <v>141</v>
      </c>
      <c r="E22" s="2" t="n">
        <f aca="false">COUNT('Données brutes'!$BG$2:$BG$46)</f>
        <v>43</v>
      </c>
      <c r="F22" s="4" t="n">
        <f aca="false">IFERROR(AVERAGE('Données brutes'!$BG$2:$BG$46),"")</f>
        <v>3.46511627906977</v>
      </c>
      <c r="G22" s="4" t="n">
        <f aca="false">IFERROR(STDEV('Données brutes'!$BG$2:$BG$46),"")</f>
        <v>1.3156355916312</v>
      </c>
      <c r="H22" s="4" t="n">
        <f aca="false">IFERROR(MEDIAN('Données brutes'!$BG$2:$BG$46),"")</f>
        <v>4</v>
      </c>
      <c r="I22" s="2" t="n">
        <f aca="false">COUNTIF('Données brutes'!$BG$2:$BG$46,1)</f>
        <v>5</v>
      </c>
      <c r="J22" s="2" t="n">
        <f aca="false">COUNTIF('Données brutes'!$BG$2:$BG$46,2)</f>
        <v>5</v>
      </c>
      <c r="K22" s="2" t="n">
        <f aca="false">COUNTIF('Données brutes'!$BG$2:$BG$46,3)</f>
        <v>9</v>
      </c>
      <c r="L22" s="2" t="n">
        <f aca="false">COUNTIF('Données brutes'!$BG$2:$BG$46,4)</f>
        <v>13</v>
      </c>
      <c r="M22" s="2" t="n">
        <f aca="false">COUNTIF('Données brutes'!$BG$2:$BG$46,5)</f>
        <v>11</v>
      </c>
      <c r="N22" s="5" t="n">
        <f aca="false">IFERROR(COUNTIF('Données brutes'!$BG$2:$BG$46,1)/COUNT('Données brutes'!$BG$2:$BG$46),"")</f>
        <v>0.116279069767442</v>
      </c>
      <c r="O22" s="5" t="n">
        <f aca="false">IFERROR(COUNTIF('Données brutes'!$BG$2:$BG$46,2)/COUNT('Données brutes'!$BG$2:$BG$46),"")</f>
        <v>0.116279069767442</v>
      </c>
      <c r="P22" s="5" t="n">
        <f aca="false">IFERROR(COUNTIF('Données brutes'!$BG$2:$BG$46,3)/COUNT('Données brutes'!$BG$2:$BG$46),"")</f>
        <v>0.209302325581395</v>
      </c>
      <c r="Q22" s="5" t="n">
        <f aca="false">IFERROR(COUNTIF('Données brutes'!$BG$2:$BG$46,4)/COUNT('Données brutes'!$BG$2:$BG$46),"")</f>
        <v>0.302325581395349</v>
      </c>
      <c r="R22" s="5" t="n">
        <f aca="false">IFERROR(COUNTIF('Données brutes'!$BG$2:$BG$46,5)/COUNT('Données brutes'!$BG$2:$BG$46),"")</f>
        <v>0.255813953488372</v>
      </c>
      <c r="S22" s="5" t="n">
        <f aca="false">IFERROR(COUNTIF('Données brutes'!$BG$2:$BG$46,"&gt;=4")/COUNT('Données brutes'!$BG$2:$BG$46),"")</f>
        <v>0.558139534883721</v>
      </c>
      <c r="T22" s="5" t="n">
        <f aca="false">IFERROR(COUNTIF('Données brutes'!$BG$2:$BG$46,"&lt;=2")/COUNT('Données brutes'!$BG$2:$BG$46),"")</f>
        <v>0.232558139534884</v>
      </c>
      <c r="U22" s="5" t="n">
        <f aca="false">IFERROR(COUNTIF('Données brutes'!$BG$2:$BG$46,3)/COUNT('Données brutes'!$BG$2:$BG$46),"")</f>
        <v>0.209302325581395</v>
      </c>
      <c r="V22" s="2" t="n">
        <f aca="false">45-COUNT('Données brutes'!$BG$2:$BG$46)</f>
        <v>2</v>
      </c>
    </row>
    <row r="23" customFormat="false" ht="15" hidden="false" customHeight="false" outlineLevel="0" collapsed="false">
      <c r="A23" s="2" t="s">
        <v>382</v>
      </c>
      <c r="B23" s="2" t="s">
        <v>59</v>
      </c>
      <c r="C23" s="3" t="s">
        <v>391</v>
      </c>
      <c r="D23" s="2"/>
      <c r="E23" s="2" t="n">
        <f aca="false">COUNT('Données brutes'!$BH$2:$BH$46)</f>
        <v>45</v>
      </c>
      <c r="F23" s="4" t="n">
        <f aca="false">IFERROR(AVERAGE('Données brutes'!$BH$2:$BH$46),"")</f>
        <v>3.24444444444444</v>
      </c>
      <c r="G23" s="4" t="n">
        <f aca="false">IFERROR(STDEV('Données brutes'!$BH$2:$BH$46),"")</f>
        <v>1.15119612805661</v>
      </c>
      <c r="H23" s="4" t="n">
        <f aca="false">IFERROR(MEDIAN('Données brutes'!$BH$2:$BH$46),"")</f>
        <v>3</v>
      </c>
      <c r="I23" s="2" t="n">
        <f aca="false">COUNTIF('Données brutes'!$BH$2:$BH$46,1)</f>
        <v>3</v>
      </c>
      <c r="J23" s="2" t="n">
        <f aca="false">COUNTIF('Données brutes'!$BH$2:$BH$46,2)</f>
        <v>10</v>
      </c>
      <c r="K23" s="2" t="n">
        <f aca="false">COUNTIF('Données brutes'!$BH$2:$BH$46,3)</f>
        <v>11</v>
      </c>
      <c r="L23" s="2" t="n">
        <f aca="false">COUNTIF('Données brutes'!$BH$2:$BH$46,4)</f>
        <v>15</v>
      </c>
      <c r="M23" s="2" t="n">
        <f aca="false">COUNTIF('Données brutes'!$BH$2:$BH$46,5)</f>
        <v>6</v>
      </c>
      <c r="N23" s="5" t="n">
        <f aca="false">IFERROR(COUNTIF('Données brutes'!$BH$2:$BH$46,1)/COUNT('Données brutes'!$BH$2:$BH$46),"")</f>
        <v>0.0666666666666667</v>
      </c>
      <c r="O23" s="5" t="n">
        <f aca="false">IFERROR(COUNTIF('Données brutes'!$BH$2:$BH$46,2)/COUNT('Données brutes'!$BH$2:$BH$46),"")</f>
        <v>0.222222222222222</v>
      </c>
      <c r="P23" s="5" t="n">
        <f aca="false">IFERROR(COUNTIF('Données brutes'!$BH$2:$BH$46,3)/COUNT('Données brutes'!$BH$2:$BH$46),"")</f>
        <v>0.244444444444444</v>
      </c>
      <c r="Q23" s="5" t="n">
        <f aca="false">IFERROR(COUNTIF('Données brutes'!$BH$2:$BH$46,4)/COUNT('Données brutes'!$BH$2:$BH$46),"")</f>
        <v>0.333333333333333</v>
      </c>
      <c r="R23" s="5" t="n">
        <f aca="false">IFERROR(COUNTIF('Données brutes'!$BH$2:$BH$46,5)/COUNT('Données brutes'!$BH$2:$BH$46),"")</f>
        <v>0.133333333333333</v>
      </c>
      <c r="S23" s="5" t="n">
        <f aca="false">IFERROR(COUNTIF('Données brutes'!$BH$2:$BH$46,"&gt;=4")/COUNT('Données brutes'!$BH$2:$BH$46),"")</f>
        <v>0.466666666666667</v>
      </c>
      <c r="T23" s="5" t="n">
        <f aca="false">IFERROR(COUNTIF('Données brutes'!$BH$2:$BH$46,"&lt;=2")/COUNT('Données brutes'!$BH$2:$BH$46),"")</f>
        <v>0.288888888888889</v>
      </c>
      <c r="U23" s="5" t="n">
        <f aca="false">IFERROR(COUNTIF('Données brutes'!$BH$2:$BH$46,3)/COUNT('Données brutes'!$BH$2:$BH$46),"")</f>
        <v>0.244444444444444</v>
      </c>
      <c r="V23" s="2" t="n">
        <f aca="false">45-COUNT('Données brutes'!$BH$2:$BH$46)</f>
        <v>0</v>
      </c>
    </row>
    <row r="24" customFormat="false" ht="23.85" hidden="false" customHeight="false" outlineLevel="0" collapsed="false">
      <c r="A24" s="2" t="s">
        <v>382</v>
      </c>
      <c r="B24" s="2" t="s">
        <v>60</v>
      </c>
      <c r="C24" s="3" t="s">
        <v>392</v>
      </c>
      <c r="D24" s="2"/>
      <c r="E24" s="2" t="n">
        <f aca="false">COUNT('Données brutes'!$BI$2:$BI$46)</f>
        <v>43</v>
      </c>
      <c r="F24" s="4" t="n">
        <f aca="false">IFERROR(AVERAGE('Données brutes'!$BI$2:$BI$46),"")</f>
        <v>3.6046511627907</v>
      </c>
      <c r="G24" s="4" t="n">
        <f aca="false">IFERROR(STDEV('Données brutes'!$BI$2:$BI$46),"")</f>
        <v>1.2371152097044</v>
      </c>
      <c r="H24" s="4" t="n">
        <f aca="false">IFERROR(MEDIAN('Données brutes'!$BI$2:$BI$46),"")</f>
        <v>4</v>
      </c>
      <c r="I24" s="2" t="n">
        <f aca="false">COUNTIF('Données brutes'!$BI$2:$BI$46,1)</f>
        <v>2</v>
      </c>
      <c r="J24" s="2" t="n">
        <f aca="false">COUNTIF('Données brutes'!$BI$2:$BI$46,2)</f>
        <v>8</v>
      </c>
      <c r="K24" s="2" t="n">
        <f aca="false">COUNTIF('Données brutes'!$BI$2:$BI$46,3)</f>
        <v>8</v>
      </c>
      <c r="L24" s="2" t="n">
        <f aca="false">COUNTIF('Données brutes'!$BI$2:$BI$46,4)</f>
        <v>12</v>
      </c>
      <c r="M24" s="2" t="n">
        <f aca="false">COUNTIF('Données brutes'!$BI$2:$BI$46,5)</f>
        <v>13</v>
      </c>
      <c r="N24" s="5" t="n">
        <f aca="false">IFERROR(COUNTIF('Données brutes'!$BI$2:$BI$46,1)/COUNT('Données brutes'!$BI$2:$BI$46),"")</f>
        <v>0.0465116279069767</v>
      </c>
      <c r="O24" s="5" t="n">
        <f aca="false">IFERROR(COUNTIF('Données brutes'!$BI$2:$BI$46,2)/COUNT('Données brutes'!$BI$2:$BI$46),"")</f>
        <v>0.186046511627907</v>
      </c>
      <c r="P24" s="5" t="n">
        <f aca="false">IFERROR(COUNTIF('Données brutes'!$BI$2:$BI$46,3)/COUNT('Données brutes'!$BI$2:$BI$46),"")</f>
        <v>0.186046511627907</v>
      </c>
      <c r="Q24" s="5" t="n">
        <f aca="false">IFERROR(COUNTIF('Données brutes'!$BI$2:$BI$46,4)/COUNT('Données brutes'!$BI$2:$BI$46),"")</f>
        <v>0.27906976744186</v>
      </c>
      <c r="R24" s="5" t="n">
        <f aca="false">IFERROR(COUNTIF('Données brutes'!$BI$2:$BI$46,5)/COUNT('Données brutes'!$BI$2:$BI$46),"")</f>
        <v>0.302325581395349</v>
      </c>
      <c r="S24" s="5" t="n">
        <f aca="false">IFERROR(COUNTIF('Données brutes'!$BI$2:$BI$46,"&gt;=4")/COUNT('Données brutes'!$BI$2:$BI$46),"")</f>
        <v>0.581395348837209</v>
      </c>
      <c r="T24" s="5" t="n">
        <f aca="false">IFERROR(COUNTIF('Données brutes'!$BI$2:$BI$46,"&lt;=2")/COUNT('Données brutes'!$BI$2:$BI$46),"")</f>
        <v>0.232558139534884</v>
      </c>
      <c r="U24" s="5" t="n">
        <f aca="false">IFERROR(COUNTIF('Données brutes'!$BI$2:$BI$46,3)/COUNT('Données brutes'!$BI$2:$BI$46),"")</f>
        <v>0.186046511627907</v>
      </c>
      <c r="V24" s="2" t="n">
        <f aca="false">45-COUNT('Données brutes'!$BI$2:$BI$46)</f>
        <v>2</v>
      </c>
    </row>
    <row r="25" customFormat="false" ht="23.85" hidden="false" customHeight="false" outlineLevel="0" collapsed="false">
      <c r="A25" s="2" t="s">
        <v>382</v>
      </c>
      <c r="B25" s="2" t="s">
        <v>61</v>
      </c>
      <c r="C25" s="3" t="s">
        <v>393</v>
      </c>
      <c r="D25" s="2"/>
      <c r="E25" s="2" t="n">
        <f aca="false">COUNT('Données brutes'!$BJ$2:$BJ$46)</f>
        <v>39</v>
      </c>
      <c r="F25" s="4" t="n">
        <f aca="false">IFERROR(AVERAGE('Données brutes'!$BJ$2:$BJ$46),"")</f>
        <v>3.15384615384615</v>
      </c>
      <c r="G25" s="4" t="n">
        <f aca="false">IFERROR(STDEV('Données brutes'!$BJ$2:$BJ$46),"")</f>
        <v>1.20390726908288</v>
      </c>
      <c r="H25" s="4" t="n">
        <f aca="false">IFERROR(MEDIAN('Données brutes'!$BJ$2:$BJ$46),"")</f>
        <v>3</v>
      </c>
      <c r="I25" s="2" t="n">
        <f aca="false">COUNTIF('Données brutes'!$BJ$2:$BJ$46,1)</f>
        <v>4</v>
      </c>
      <c r="J25" s="2" t="n">
        <f aca="false">COUNTIF('Données brutes'!$BJ$2:$BJ$46,2)</f>
        <v>6</v>
      </c>
      <c r="K25" s="2" t="n">
        <f aca="false">COUNTIF('Données brutes'!$BJ$2:$BJ$46,3)</f>
        <v>16</v>
      </c>
      <c r="L25" s="2" t="n">
        <f aca="false">COUNTIF('Données brutes'!$BJ$2:$BJ$46,4)</f>
        <v>6</v>
      </c>
      <c r="M25" s="2" t="n">
        <f aca="false">COUNTIF('Données brutes'!$BJ$2:$BJ$46,5)</f>
        <v>7</v>
      </c>
      <c r="N25" s="5" t="n">
        <f aca="false">IFERROR(COUNTIF('Données brutes'!$BJ$2:$BJ$46,1)/COUNT('Données brutes'!$BJ$2:$BJ$46),"")</f>
        <v>0.102564102564103</v>
      </c>
      <c r="O25" s="5" t="n">
        <f aca="false">IFERROR(COUNTIF('Données brutes'!$BJ$2:$BJ$46,2)/COUNT('Données brutes'!$BJ$2:$BJ$46),"")</f>
        <v>0.153846153846154</v>
      </c>
      <c r="P25" s="5" t="n">
        <f aca="false">IFERROR(COUNTIF('Données brutes'!$BJ$2:$BJ$46,3)/COUNT('Données brutes'!$BJ$2:$BJ$46),"")</f>
        <v>0.41025641025641</v>
      </c>
      <c r="Q25" s="5" t="n">
        <f aca="false">IFERROR(COUNTIF('Données brutes'!$BJ$2:$BJ$46,4)/COUNT('Données brutes'!$BJ$2:$BJ$46),"")</f>
        <v>0.153846153846154</v>
      </c>
      <c r="R25" s="5" t="n">
        <f aca="false">IFERROR(COUNTIF('Données brutes'!$BJ$2:$BJ$46,5)/COUNT('Données brutes'!$BJ$2:$BJ$46),"")</f>
        <v>0.17948717948718</v>
      </c>
      <c r="S25" s="5" t="n">
        <f aca="false">IFERROR(COUNTIF('Données brutes'!$BJ$2:$BJ$46,"&gt;=4")/COUNT('Données brutes'!$BJ$2:$BJ$46),"")</f>
        <v>0.333333333333333</v>
      </c>
      <c r="T25" s="5" t="n">
        <f aca="false">IFERROR(COUNTIF('Données brutes'!$BJ$2:$BJ$46,"&lt;=2")/COUNT('Données brutes'!$BJ$2:$BJ$46),"")</f>
        <v>0.256410256410256</v>
      </c>
      <c r="U25" s="5" t="n">
        <f aca="false">IFERROR(COUNTIF('Données brutes'!$BJ$2:$BJ$46,3)/COUNT('Données brutes'!$BJ$2:$BJ$46),"")</f>
        <v>0.41025641025641</v>
      </c>
      <c r="V25" s="2" t="n">
        <f aca="false">45-COUNT('Données brutes'!$BJ$2:$BJ$46)</f>
        <v>6</v>
      </c>
    </row>
    <row r="26" customFormat="false" ht="15" hidden="false" customHeight="false" outlineLevel="0" collapsed="false">
      <c r="A26" s="2" t="s">
        <v>395</v>
      </c>
      <c r="B26" s="2" t="s">
        <v>62</v>
      </c>
      <c r="C26" s="3" t="s">
        <v>394</v>
      </c>
      <c r="D26" s="2" t="s">
        <v>141</v>
      </c>
      <c r="E26" s="2" t="n">
        <f aca="false">COUNT('Données brutes'!$BK$2:$BK$46)</f>
        <v>45</v>
      </c>
      <c r="F26" s="4" t="n">
        <f aca="false">IFERROR(AVERAGE('Données brutes'!$BK$2:$BK$46),"")</f>
        <v>3.15555555555556</v>
      </c>
      <c r="G26" s="4" t="n">
        <f aca="false">IFERROR(STDEV('Données brutes'!$BK$2:$BK$46),"")</f>
        <v>1.26051136007927</v>
      </c>
      <c r="H26" s="4" t="n">
        <f aca="false">IFERROR(MEDIAN('Données brutes'!$BK$2:$BK$46),"")</f>
        <v>3</v>
      </c>
      <c r="I26" s="2" t="n">
        <f aca="false">COUNTIF('Données brutes'!$BK$2:$BK$46,1)</f>
        <v>6</v>
      </c>
      <c r="J26" s="2" t="n">
        <f aca="false">COUNTIF('Données brutes'!$BK$2:$BK$46,2)</f>
        <v>7</v>
      </c>
      <c r="K26" s="2" t="n">
        <f aca="false">COUNTIF('Données brutes'!$BK$2:$BK$46,3)</f>
        <v>13</v>
      </c>
      <c r="L26" s="2" t="n">
        <f aca="false">COUNTIF('Données brutes'!$BK$2:$BK$46,4)</f>
        <v>12</v>
      </c>
      <c r="M26" s="2" t="n">
        <f aca="false">COUNTIF('Données brutes'!$BK$2:$BK$46,5)</f>
        <v>7</v>
      </c>
      <c r="N26" s="5" t="n">
        <f aca="false">IFERROR(COUNTIF('Données brutes'!$BK$2:$BK$46,1)/COUNT('Données brutes'!$BK$2:$BK$46),"")</f>
        <v>0.133333333333333</v>
      </c>
      <c r="O26" s="5" t="n">
        <f aca="false">IFERROR(COUNTIF('Données brutes'!$BK$2:$BK$46,2)/COUNT('Données brutes'!$BK$2:$BK$46),"")</f>
        <v>0.155555555555556</v>
      </c>
      <c r="P26" s="5" t="n">
        <f aca="false">IFERROR(COUNTIF('Données brutes'!$BK$2:$BK$46,3)/COUNT('Données brutes'!$BK$2:$BK$46),"")</f>
        <v>0.288888888888889</v>
      </c>
      <c r="Q26" s="5" t="n">
        <f aca="false">IFERROR(COUNTIF('Données brutes'!$BK$2:$BK$46,4)/COUNT('Données brutes'!$BK$2:$BK$46),"")</f>
        <v>0.266666666666667</v>
      </c>
      <c r="R26" s="5" t="n">
        <f aca="false">IFERROR(COUNTIF('Données brutes'!$BK$2:$BK$46,5)/COUNT('Données brutes'!$BK$2:$BK$46),"")</f>
        <v>0.155555555555556</v>
      </c>
      <c r="S26" s="5" t="n">
        <f aca="false">IFERROR(COUNTIF('Données brutes'!$BK$2:$BK$46,"&gt;=4")/COUNT('Données brutes'!$BK$2:$BK$46),"")</f>
        <v>0.422222222222222</v>
      </c>
      <c r="T26" s="5" t="n">
        <f aca="false">IFERROR(COUNTIF('Données brutes'!$BK$2:$BK$46,"&lt;=2")/COUNT('Données brutes'!$BK$2:$BK$46),"")</f>
        <v>0.288888888888889</v>
      </c>
      <c r="U26" s="5" t="n">
        <f aca="false">IFERROR(COUNTIF('Données brutes'!$BK$2:$BK$46,3)/COUNT('Données brutes'!$BK$2:$BK$46),"")</f>
        <v>0.288888888888889</v>
      </c>
      <c r="V26" s="2" t="n">
        <f aca="false">45-COUNT('Données brutes'!$BK$2:$BK$46)</f>
        <v>0</v>
      </c>
    </row>
    <row r="27" customFormat="false" ht="23.85" hidden="false" customHeight="false" outlineLevel="0" collapsed="false">
      <c r="A27" s="2" t="s">
        <v>395</v>
      </c>
      <c r="B27" s="2" t="s">
        <v>63</v>
      </c>
      <c r="C27" s="3" t="s">
        <v>396</v>
      </c>
      <c r="D27" s="2" t="s">
        <v>141</v>
      </c>
      <c r="E27" s="2" t="n">
        <f aca="false">COUNT('Données brutes'!$BL$2:$BL$46)</f>
        <v>45</v>
      </c>
      <c r="F27" s="4" t="n">
        <f aca="false">IFERROR(AVERAGE('Données brutes'!$BL$2:$BL$46),"")</f>
        <v>3.37777777777778</v>
      </c>
      <c r="G27" s="4" t="n">
        <f aca="false">IFERROR(STDEV('Données brutes'!$BL$2:$BL$46),"")</f>
        <v>1.19256958799989</v>
      </c>
      <c r="H27" s="4" t="n">
        <f aca="false">IFERROR(MEDIAN('Données brutes'!$BL$2:$BL$46),"")</f>
        <v>3</v>
      </c>
      <c r="I27" s="2" t="n">
        <f aca="false">COUNTIF('Données brutes'!$BL$2:$BL$46,1)</f>
        <v>3</v>
      </c>
      <c r="J27" s="2" t="n">
        <f aca="false">COUNTIF('Données brutes'!$BL$2:$BL$46,2)</f>
        <v>8</v>
      </c>
      <c r="K27" s="2" t="n">
        <f aca="false">COUNTIF('Données brutes'!$BL$2:$BL$46,3)</f>
        <v>12</v>
      </c>
      <c r="L27" s="2" t="n">
        <f aca="false">COUNTIF('Données brutes'!$BL$2:$BL$46,4)</f>
        <v>13</v>
      </c>
      <c r="M27" s="2" t="n">
        <f aca="false">COUNTIF('Données brutes'!$BL$2:$BL$46,5)</f>
        <v>9</v>
      </c>
      <c r="N27" s="5" t="n">
        <f aca="false">IFERROR(COUNTIF('Données brutes'!$BL$2:$BL$46,1)/COUNT('Données brutes'!$BL$2:$BL$46),"")</f>
        <v>0.0666666666666667</v>
      </c>
      <c r="O27" s="5" t="n">
        <f aca="false">IFERROR(COUNTIF('Données brutes'!$BL$2:$BL$46,2)/COUNT('Données brutes'!$BL$2:$BL$46),"")</f>
        <v>0.177777777777778</v>
      </c>
      <c r="P27" s="5" t="n">
        <f aca="false">IFERROR(COUNTIF('Données brutes'!$BL$2:$BL$46,3)/COUNT('Données brutes'!$BL$2:$BL$46),"")</f>
        <v>0.266666666666667</v>
      </c>
      <c r="Q27" s="5" t="n">
        <f aca="false">IFERROR(COUNTIF('Données brutes'!$BL$2:$BL$46,4)/COUNT('Données brutes'!$BL$2:$BL$46),"")</f>
        <v>0.288888888888889</v>
      </c>
      <c r="R27" s="5" t="n">
        <f aca="false">IFERROR(COUNTIF('Données brutes'!$BL$2:$BL$46,5)/COUNT('Données brutes'!$BL$2:$BL$46),"")</f>
        <v>0.2</v>
      </c>
      <c r="S27" s="5" t="n">
        <f aca="false">IFERROR(COUNTIF('Données brutes'!$BL$2:$BL$46,"&gt;=4")/COUNT('Données brutes'!$BL$2:$BL$46),"")</f>
        <v>0.488888888888889</v>
      </c>
      <c r="T27" s="5" t="n">
        <f aca="false">IFERROR(COUNTIF('Données brutes'!$BL$2:$BL$46,"&lt;=2")/COUNT('Données brutes'!$BL$2:$BL$46),"")</f>
        <v>0.244444444444444</v>
      </c>
      <c r="U27" s="5" t="n">
        <f aca="false">IFERROR(COUNTIF('Données brutes'!$BL$2:$BL$46,3)/COUNT('Données brutes'!$BL$2:$BL$46),"")</f>
        <v>0.266666666666667</v>
      </c>
      <c r="V27" s="2" t="n">
        <f aca="false">45-COUNT('Données brutes'!$BL$2:$BL$46)</f>
        <v>0</v>
      </c>
    </row>
    <row r="28" customFormat="false" ht="23.85" hidden="false" customHeight="false" outlineLevel="0" collapsed="false">
      <c r="A28" s="2" t="s">
        <v>395</v>
      </c>
      <c r="B28" s="2" t="s">
        <v>64</v>
      </c>
      <c r="C28" s="3" t="s">
        <v>397</v>
      </c>
      <c r="D28" s="2" t="s">
        <v>141</v>
      </c>
      <c r="E28" s="2" t="n">
        <f aca="false">COUNT('Données brutes'!$BM$2:$BM$46)</f>
        <v>44</v>
      </c>
      <c r="F28" s="4" t="n">
        <f aca="false">IFERROR(AVERAGE('Données brutes'!$BM$2:$BM$46),"")</f>
        <v>3.13636363636364</v>
      </c>
      <c r="G28" s="4" t="n">
        <f aca="false">IFERROR(STDEV('Données brutes'!$BM$2:$BM$46),"")</f>
        <v>1.21216525642319</v>
      </c>
      <c r="H28" s="4" t="n">
        <f aca="false">IFERROR(MEDIAN('Données brutes'!$BM$2:$BM$46),"")</f>
        <v>3</v>
      </c>
      <c r="I28" s="2" t="n">
        <f aca="false">COUNTIF('Données brutes'!$BM$2:$BM$46,1)</f>
        <v>5</v>
      </c>
      <c r="J28" s="2" t="n">
        <f aca="false">COUNTIF('Données brutes'!$BM$2:$BM$46,2)</f>
        <v>7</v>
      </c>
      <c r="K28" s="2" t="n">
        <f aca="false">COUNTIF('Données brutes'!$BM$2:$BM$46,3)</f>
        <v>16</v>
      </c>
      <c r="L28" s="2" t="n">
        <f aca="false">COUNTIF('Données brutes'!$BM$2:$BM$46,4)</f>
        <v>9</v>
      </c>
      <c r="M28" s="2" t="n">
        <f aca="false">COUNTIF('Données brutes'!$BM$2:$BM$46,5)</f>
        <v>7</v>
      </c>
      <c r="N28" s="5" t="n">
        <f aca="false">IFERROR(COUNTIF('Données brutes'!$BM$2:$BM$46,1)/COUNT('Données brutes'!$BM$2:$BM$46),"")</f>
        <v>0.113636363636364</v>
      </c>
      <c r="O28" s="5" t="n">
        <f aca="false">IFERROR(COUNTIF('Données brutes'!$BM$2:$BM$46,2)/COUNT('Données brutes'!$BM$2:$BM$46),"")</f>
        <v>0.159090909090909</v>
      </c>
      <c r="P28" s="5" t="n">
        <f aca="false">IFERROR(COUNTIF('Données brutes'!$BM$2:$BM$46,3)/COUNT('Données brutes'!$BM$2:$BM$46),"")</f>
        <v>0.363636363636364</v>
      </c>
      <c r="Q28" s="5" t="n">
        <f aca="false">IFERROR(COUNTIF('Données brutes'!$BM$2:$BM$46,4)/COUNT('Données brutes'!$BM$2:$BM$46),"")</f>
        <v>0.204545454545455</v>
      </c>
      <c r="R28" s="5" t="n">
        <f aca="false">IFERROR(COUNTIF('Données brutes'!$BM$2:$BM$46,5)/COUNT('Données brutes'!$BM$2:$BM$46),"")</f>
        <v>0.159090909090909</v>
      </c>
      <c r="S28" s="5" t="n">
        <f aca="false">IFERROR(COUNTIF('Données brutes'!$BM$2:$BM$46,"&gt;=4")/COUNT('Données brutes'!$BM$2:$BM$46),"")</f>
        <v>0.363636363636364</v>
      </c>
      <c r="T28" s="5" t="n">
        <f aca="false">IFERROR(COUNTIF('Données brutes'!$BM$2:$BM$46,"&lt;=2")/COUNT('Données brutes'!$BM$2:$BM$46),"")</f>
        <v>0.272727272727273</v>
      </c>
      <c r="U28" s="5" t="n">
        <f aca="false">IFERROR(COUNTIF('Données brutes'!$BM$2:$BM$46,3)/COUNT('Données brutes'!$BM$2:$BM$46),"")</f>
        <v>0.363636363636364</v>
      </c>
      <c r="V28" s="2" t="n">
        <f aca="false">45-COUNT('Données brutes'!$BM$2:$BM$46)</f>
        <v>1</v>
      </c>
    </row>
    <row r="29" customFormat="false" ht="15" hidden="false" customHeight="false" outlineLevel="0" collapsed="false">
      <c r="A29" s="2" t="s">
        <v>395</v>
      </c>
      <c r="B29" s="2" t="s">
        <v>65</v>
      </c>
      <c r="C29" s="3" t="s">
        <v>398</v>
      </c>
      <c r="D29" s="2" t="s">
        <v>141</v>
      </c>
      <c r="E29" s="2" t="n">
        <f aca="false">COUNT('Données brutes'!$BN$2:$BN$46)</f>
        <v>44</v>
      </c>
      <c r="F29" s="4" t="n">
        <f aca="false">IFERROR(AVERAGE('Données brutes'!$BN$2:$BN$46),"")</f>
        <v>3.31818181818182</v>
      </c>
      <c r="G29" s="4" t="n">
        <f aca="false">IFERROR(STDEV('Données brutes'!$BN$2:$BN$46),"")</f>
        <v>1.21564849709895</v>
      </c>
      <c r="H29" s="4" t="n">
        <f aca="false">IFERROR(MEDIAN('Données brutes'!$BN$2:$BN$46),"")</f>
        <v>3</v>
      </c>
      <c r="I29" s="2" t="n">
        <f aca="false">COUNTIF('Données brutes'!$BN$2:$BN$46,1)</f>
        <v>1</v>
      </c>
      <c r="J29" s="2" t="n">
        <f aca="false">COUNTIF('Données brutes'!$BN$2:$BN$46,2)</f>
        <v>13</v>
      </c>
      <c r="K29" s="2" t="n">
        <f aca="false">COUNTIF('Données brutes'!$BN$2:$BN$46,3)</f>
        <v>12</v>
      </c>
      <c r="L29" s="2" t="n">
        <f aca="false">COUNTIF('Données brutes'!$BN$2:$BN$46,4)</f>
        <v>7</v>
      </c>
      <c r="M29" s="2" t="n">
        <f aca="false">COUNTIF('Données brutes'!$BN$2:$BN$46,5)</f>
        <v>11</v>
      </c>
      <c r="N29" s="5" t="n">
        <f aca="false">IFERROR(COUNTIF('Données brutes'!$BN$2:$BN$46,1)/COUNT('Données brutes'!$BN$2:$BN$46),"")</f>
        <v>0.0227272727272727</v>
      </c>
      <c r="O29" s="5" t="n">
        <f aca="false">IFERROR(COUNTIF('Données brutes'!$BN$2:$BN$46,2)/COUNT('Données brutes'!$BN$2:$BN$46),"")</f>
        <v>0.295454545454545</v>
      </c>
      <c r="P29" s="5" t="n">
        <f aca="false">IFERROR(COUNTIF('Données brutes'!$BN$2:$BN$46,3)/COUNT('Données brutes'!$BN$2:$BN$46),"")</f>
        <v>0.272727272727273</v>
      </c>
      <c r="Q29" s="5" t="n">
        <f aca="false">IFERROR(COUNTIF('Données brutes'!$BN$2:$BN$46,4)/COUNT('Données brutes'!$BN$2:$BN$46),"")</f>
        <v>0.159090909090909</v>
      </c>
      <c r="R29" s="5" t="n">
        <f aca="false">IFERROR(COUNTIF('Données brutes'!$BN$2:$BN$46,5)/COUNT('Données brutes'!$BN$2:$BN$46),"")</f>
        <v>0.25</v>
      </c>
      <c r="S29" s="5" t="n">
        <f aca="false">IFERROR(COUNTIF('Données brutes'!$BN$2:$BN$46,"&gt;=4")/COUNT('Données brutes'!$BN$2:$BN$46),"")</f>
        <v>0.409090909090909</v>
      </c>
      <c r="T29" s="5" t="n">
        <f aca="false">IFERROR(COUNTIF('Données brutes'!$BN$2:$BN$46,"&lt;=2")/COUNT('Données brutes'!$BN$2:$BN$46),"")</f>
        <v>0.318181818181818</v>
      </c>
      <c r="U29" s="5" t="n">
        <f aca="false">IFERROR(COUNTIF('Données brutes'!$BN$2:$BN$46,3)/COUNT('Données brutes'!$BN$2:$BN$46),"")</f>
        <v>0.272727272727273</v>
      </c>
      <c r="V29" s="2" t="n">
        <f aca="false">45-COUNT('Données brutes'!$BN$2:$BN$46)</f>
        <v>1</v>
      </c>
    </row>
    <row r="30" customFormat="false" ht="23.85" hidden="false" customHeight="false" outlineLevel="0" collapsed="false">
      <c r="A30" s="2" t="s">
        <v>395</v>
      </c>
      <c r="B30" s="2" t="s">
        <v>66</v>
      </c>
      <c r="C30" s="3" t="s">
        <v>399</v>
      </c>
      <c r="D30" s="2" t="s">
        <v>141</v>
      </c>
      <c r="E30" s="2" t="n">
        <f aca="false">COUNT('Données brutes'!$BO$2:$BO$46)</f>
        <v>42</v>
      </c>
      <c r="F30" s="4" t="n">
        <f aca="false">IFERROR(AVERAGE('Données brutes'!$BO$2:$BO$46),"")</f>
        <v>3.30952380952381</v>
      </c>
      <c r="G30" s="4" t="n">
        <f aca="false">IFERROR(STDEV('Données brutes'!$BO$2:$BO$46),"")</f>
        <v>1.29705285519727</v>
      </c>
      <c r="H30" s="4" t="n">
        <f aca="false">IFERROR(MEDIAN('Données brutes'!$BO$2:$BO$46),"")</f>
        <v>3</v>
      </c>
      <c r="I30" s="2" t="n">
        <f aca="false">COUNTIF('Données brutes'!$BO$2:$BO$46,1)</f>
        <v>4</v>
      </c>
      <c r="J30" s="2" t="n">
        <f aca="false">COUNTIF('Données brutes'!$BO$2:$BO$46,2)</f>
        <v>8</v>
      </c>
      <c r="K30" s="2" t="n">
        <f aca="false">COUNTIF('Données brutes'!$BO$2:$BO$46,3)</f>
        <v>11</v>
      </c>
      <c r="L30" s="2" t="n">
        <f aca="false">COUNTIF('Données brutes'!$BO$2:$BO$46,4)</f>
        <v>9</v>
      </c>
      <c r="M30" s="2" t="n">
        <f aca="false">COUNTIF('Données brutes'!$BO$2:$BO$46,5)</f>
        <v>10</v>
      </c>
      <c r="N30" s="5" t="n">
        <f aca="false">IFERROR(COUNTIF('Données brutes'!$BO$2:$BO$46,1)/COUNT('Données brutes'!$BO$2:$BO$46),"")</f>
        <v>0.0952380952380952</v>
      </c>
      <c r="O30" s="5" t="n">
        <f aca="false">IFERROR(COUNTIF('Données brutes'!$BO$2:$BO$46,2)/COUNT('Données brutes'!$BO$2:$BO$46),"")</f>
        <v>0.19047619047619</v>
      </c>
      <c r="P30" s="5" t="n">
        <f aca="false">IFERROR(COUNTIF('Données brutes'!$BO$2:$BO$46,3)/COUNT('Données brutes'!$BO$2:$BO$46),"")</f>
        <v>0.261904761904762</v>
      </c>
      <c r="Q30" s="5" t="n">
        <f aca="false">IFERROR(COUNTIF('Données brutes'!$BO$2:$BO$46,4)/COUNT('Données brutes'!$BO$2:$BO$46),"")</f>
        <v>0.214285714285714</v>
      </c>
      <c r="R30" s="5" t="n">
        <f aca="false">IFERROR(COUNTIF('Données brutes'!$BO$2:$BO$46,5)/COUNT('Données brutes'!$BO$2:$BO$46),"")</f>
        <v>0.238095238095238</v>
      </c>
      <c r="S30" s="5" t="n">
        <f aca="false">IFERROR(COUNTIF('Données brutes'!$BO$2:$BO$46,"&gt;=4")/COUNT('Données brutes'!$BO$2:$BO$46),"")</f>
        <v>0.452380952380952</v>
      </c>
      <c r="T30" s="5" t="n">
        <f aca="false">IFERROR(COUNTIF('Données brutes'!$BO$2:$BO$46,"&lt;=2")/COUNT('Données brutes'!$BO$2:$BO$46),"")</f>
        <v>0.285714285714286</v>
      </c>
      <c r="U30" s="5" t="n">
        <f aca="false">IFERROR(COUNTIF('Données brutes'!$BO$2:$BO$46,3)/COUNT('Données brutes'!$BO$2:$BO$46),"")</f>
        <v>0.261904761904762</v>
      </c>
      <c r="V30" s="2" t="n">
        <f aca="false">45-COUNT('Données brutes'!$BO$2:$BO$46)</f>
        <v>3</v>
      </c>
    </row>
    <row r="31" customFormat="false" ht="15" hidden="false" customHeight="false" outlineLevel="0" collapsed="false">
      <c r="A31" s="2" t="s">
        <v>395</v>
      </c>
      <c r="B31" s="2" t="s">
        <v>67</v>
      </c>
      <c r="C31" s="3" t="s">
        <v>400</v>
      </c>
      <c r="D31" s="2" t="s">
        <v>141</v>
      </c>
      <c r="E31" s="2" t="n">
        <f aca="false">COUNT('Données brutes'!$BP$2:$BP$46)</f>
        <v>44</v>
      </c>
      <c r="F31" s="4" t="n">
        <f aca="false">IFERROR(AVERAGE('Données brutes'!$BP$2:$BP$46),"")</f>
        <v>3.52272727272727</v>
      </c>
      <c r="G31" s="4" t="n">
        <f aca="false">IFERROR(STDEV('Données brutes'!$BP$2:$BP$46),"")</f>
        <v>1.37229457078513</v>
      </c>
      <c r="H31" s="4" t="n">
        <f aca="false">IFERROR(MEDIAN('Données brutes'!$BP$2:$BP$46),"")</f>
        <v>4</v>
      </c>
      <c r="I31" s="2" t="n">
        <f aca="false">COUNTIF('Données brutes'!$BP$2:$BP$46,1)</f>
        <v>5</v>
      </c>
      <c r="J31" s="2" t="n">
        <f aca="false">COUNTIF('Données brutes'!$BP$2:$BP$46,2)</f>
        <v>6</v>
      </c>
      <c r="K31" s="2" t="n">
        <f aca="false">COUNTIF('Données brutes'!$BP$2:$BP$46,3)</f>
        <v>8</v>
      </c>
      <c r="L31" s="2" t="n">
        <f aca="false">COUNTIF('Données brutes'!$BP$2:$BP$46,4)</f>
        <v>11</v>
      </c>
      <c r="M31" s="2" t="n">
        <f aca="false">COUNTIF('Données brutes'!$BP$2:$BP$46,5)</f>
        <v>14</v>
      </c>
      <c r="N31" s="5" t="n">
        <f aca="false">IFERROR(COUNTIF('Données brutes'!$BP$2:$BP$46,1)/COUNT('Données brutes'!$BP$2:$BP$46),"")</f>
        <v>0.113636363636364</v>
      </c>
      <c r="O31" s="5" t="n">
        <f aca="false">IFERROR(COUNTIF('Données brutes'!$BP$2:$BP$46,2)/COUNT('Données brutes'!$BP$2:$BP$46),"")</f>
        <v>0.136363636363636</v>
      </c>
      <c r="P31" s="5" t="n">
        <f aca="false">IFERROR(COUNTIF('Données brutes'!$BP$2:$BP$46,3)/COUNT('Données brutes'!$BP$2:$BP$46),"")</f>
        <v>0.181818181818182</v>
      </c>
      <c r="Q31" s="5" t="n">
        <f aca="false">IFERROR(COUNTIF('Données brutes'!$BP$2:$BP$46,4)/COUNT('Données brutes'!$BP$2:$BP$46),"")</f>
        <v>0.25</v>
      </c>
      <c r="R31" s="5" t="n">
        <f aca="false">IFERROR(COUNTIF('Données brutes'!$BP$2:$BP$46,5)/COUNT('Données brutes'!$BP$2:$BP$46),"")</f>
        <v>0.318181818181818</v>
      </c>
      <c r="S31" s="5" t="n">
        <f aca="false">IFERROR(COUNTIF('Données brutes'!$BP$2:$BP$46,"&gt;=4")/COUNT('Données brutes'!$BP$2:$BP$46),"")</f>
        <v>0.568181818181818</v>
      </c>
      <c r="T31" s="5" t="n">
        <f aca="false">IFERROR(COUNTIF('Données brutes'!$BP$2:$BP$46,"&lt;=2")/COUNT('Données brutes'!$BP$2:$BP$46),"")</f>
        <v>0.25</v>
      </c>
      <c r="U31" s="5" t="n">
        <f aca="false">IFERROR(COUNTIF('Données brutes'!$BP$2:$BP$46,3)/COUNT('Données brutes'!$BP$2:$BP$46),"")</f>
        <v>0.181818181818182</v>
      </c>
      <c r="V31" s="2" t="n">
        <f aca="false">45-COUNT('Données brutes'!$BP$2:$BP$46)</f>
        <v>1</v>
      </c>
    </row>
    <row r="32" customFormat="false" ht="23.85" hidden="false" customHeight="false" outlineLevel="0" collapsed="false">
      <c r="A32" s="2" t="s">
        <v>395</v>
      </c>
      <c r="B32" s="2" t="s">
        <v>68</v>
      </c>
      <c r="C32" s="3" t="s">
        <v>401</v>
      </c>
      <c r="D32" s="2" t="s">
        <v>141</v>
      </c>
      <c r="E32" s="2" t="n">
        <f aca="false">COUNT('Données brutes'!$BQ$2:$BQ$46)</f>
        <v>44</v>
      </c>
      <c r="F32" s="4" t="n">
        <f aca="false">IFERROR(AVERAGE('Données brutes'!$BQ$2:$BQ$46),"")</f>
        <v>3.22727272727273</v>
      </c>
      <c r="G32" s="4" t="n">
        <f aca="false">IFERROR(STDEV('Données brutes'!$BQ$2:$BQ$46),"")</f>
        <v>1.27340664441081</v>
      </c>
      <c r="H32" s="4" t="n">
        <f aca="false">IFERROR(MEDIAN('Données brutes'!$BQ$2:$BQ$46),"")</f>
        <v>3</v>
      </c>
      <c r="I32" s="2" t="n">
        <f aca="false">COUNTIF('Données brutes'!$BQ$2:$BQ$46,1)</f>
        <v>6</v>
      </c>
      <c r="J32" s="2" t="n">
        <f aca="false">COUNTIF('Données brutes'!$BQ$2:$BQ$46,2)</f>
        <v>6</v>
      </c>
      <c r="K32" s="2" t="n">
        <f aca="false">COUNTIF('Données brutes'!$BQ$2:$BQ$46,3)</f>
        <v>11</v>
      </c>
      <c r="L32" s="2" t="n">
        <f aca="false">COUNTIF('Données brutes'!$BQ$2:$BQ$46,4)</f>
        <v>14</v>
      </c>
      <c r="M32" s="2" t="n">
        <f aca="false">COUNTIF('Données brutes'!$BQ$2:$BQ$46,5)</f>
        <v>7</v>
      </c>
      <c r="N32" s="5" t="n">
        <f aca="false">IFERROR(COUNTIF('Données brutes'!$BQ$2:$BQ$46,1)/COUNT('Données brutes'!$BQ$2:$BQ$46),"")</f>
        <v>0.136363636363636</v>
      </c>
      <c r="O32" s="5" t="n">
        <f aca="false">IFERROR(COUNTIF('Données brutes'!$BQ$2:$BQ$46,2)/COUNT('Données brutes'!$BQ$2:$BQ$46),"")</f>
        <v>0.136363636363636</v>
      </c>
      <c r="P32" s="5" t="n">
        <f aca="false">IFERROR(COUNTIF('Données brutes'!$BQ$2:$BQ$46,3)/COUNT('Données brutes'!$BQ$2:$BQ$46),"")</f>
        <v>0.25</v>
      </c>
      <c r="Q32" s="5" t="n">
        <f aca="false">IFERROR(COUNTIF('Données brutes'!$BQ$2:$BQ$46,4)/COUNT('Données brutes'!$BQ$2:$BQ$46),"")</f>
        <v>0.318181818181818</v>
      </c>
      <c r="R32" s="5" t="n">
        <f aca="false">IFERROR(COUNTIF('Données brutes'!$BQ$2:$BQ$46,5)/COUNT('Données brutes'!$BQ$2:$BQ$46),"")</f>
        <v>0.159090909090909</v>
      </c>
      <c r="S32" s="5" t="n">
        <f aca="false">IFERROR(COUNTIF('Données brutes'!$BQ$2:$BQ$46,"&gt;=4")/COUNT('Données brutes'!$BQ$2:$BQ$46),"")</f>
        <v>0.477272727272727</v>
      </c>
      <c r="T32" s="5" t="n">
        <f aca="false">IFERROR(COUNTIF('Données brutes'!$BQ$2:$BQ$46,"&lt;=2")/COUNT('Données brutes'!$BQ$2:$BQ$46),"")</f>
        <v>0.272727272727273</v>
      </c>
      <c r="U32" s="5" t="n">
        <f aca="false">IFERROR(COUNTIF('Données brutes'!$BQ$2:$BQ$46,3)/COUNT('Données brutes'!$BQ$2:$BQ$46),"")</f>
        <v>0.25</v>
      </c>
      <c r="V32" s="2" t="n">
        <f aca="false">45-COUNT('Données brutes'!$BQ$2:$BQ$46)</f>
        <v>1</v>
      </c>
    </row>
    <row r="33" customFormat="false" ht="23.85" hidden="false" customHeight="false" outlineLevel="0" collapsed="false">
      <c r="A33" s="2" t="s">
        <v>403</v>
      </c>
      <c r="B33" s="2" t="s">
        <v>69</v>
      </c>
      <c r="C33" s="3" t="s">
        <v>402</v>
      </c>
      <c r="D33" s="2"/>
      <c r="E33" s="2" t="n">
        <f aca="false">COUNT('Données brutes'!$BR$2:$BR$46)</f>
        <v>44</v>
      </c>
      <c r="F33" s="4" t="n">
        <f aca="false">IFERROR(AVERAGE('Données brutes'!$BR$2:$BR$46),"")</f>
        <v>3.27272727272727</v>
      </c>
      <c r="G33" s="4" t="n">
        <f aca="false">IFERROR(STDEV('Données brutes'!$BR$2:$BR$46),"")</f>
        <v>1.30051217752471</v>
      </c>
      <c r="H33" s="4" t="n">
        <f aca="false">IFERROR(MEDIAN('Données brutes'!$BR$2:$BR$46),"")</f>
        <v>3</v>
      </c>
      <c r="I33" s="2" t="n">
        <f aca="false">COUNTIF('Données brutes'!$BR$2:$BR$46,1)</f>
        <v>5</v>
      </c>
      <c r="J33" s="2" t="n">
        <f aca="false">COUNTIF('Données brutes'!$BR$2:$BR$46,2)</f>
        <v>8</v>
      </c>
      <c r="K33" s="2" t="n">
        <f aca="false">COUNTIF('Données brutes'!$BR$2:$BR$46,3)</f>
        <v>10</v>
      </c>
      <c r="L33" s="2" t="n">
        <f aca="false">COUNTIF('Données brutes'!$BR$2:$BR$46,4)</f>
        <v>12</v>
      </c>
      <c r="M33" s="2" t="n">
        <f aca="false">COUNTIF('Données brutes'!$BR$2:$BR$46,5)</f>
        <v>9</v>
      </c>
      <c r="N33" s="5" t="n">
        <f aca="false">IFERROR(COUNTIF('Données brutes'!$BR$2:$BR$46,1)/COUNT('Données brutes'!$BR$2:$BR$46),"")</f>
        <v>0.113636363636364</v>
      </c>
      <c r="O33" s="5" t="n">
        <f aca="false">IFERROR(COUNTIF('Données brutes'!$BR$2:$BR$46,2)/COUNT('Données brutes'!$BR$2:$BR$46),"")</f>
        <v>0.181818181818182</v>
      </c>
      <c r="P33" s="5" t="n">
        <f aca="false">IFERROR(COUNTIF('Données brutes'!$BR$2:$BR$46,3)/COUNT('Données brutes'!$BR$2:$BR$46),"")</f>
        <v>0.227272727272727</v>
      </c>
      <c r="Q33" s="5" t="n">
        <f aca="false">IFERROR(COUNTIF('Données brutes'!$BR$2:$BR$46,4)/COUNT('Données brutes'!$BR$2:$BR$46),"")</f>
        <v>0.272727272727273</v>
      </c>
      <c r="R33" s="5" t="n">
        <f aca="false">IFERROR(COUNTIF('Données brutes'!$BR$2:$BR$46,5)/COUNT('Données brutes'!$BR$2:$BR$46),"")</f>
        <v>0.204545454545455</v>
      </c>
      <c r="S33" s="5" t="n">
        <f aca="false">IFERROR(COUNTIF('Données brutes'!$BR$2:$BR$46,"&gt;=4")/COUNT('Données brutes'!$BR$2:$BR$46),"")</f>
        <v>0.477272727272727</v>
      </c>
      <c r="T33" s="5" t="n">
        <f aca="false">IFERROR(COUNTIF('Données brutes'!$BR$2:$BR$46,"&lt;=2")/COUNT('Données brutes'!$BR$2:$BR$46),"")</f>
        <v>0.295454545454545</v>
      </c>
      <c r="U33" s="5" t="n">
        <f aca="false">IFERROR(COUNTIF('Données brutes'!$BR$2:$BR$46,3)/COUNT('Données brutes'!$BR$2:$BR$46),"")</f>
        <v>0.227272727272727</v>
      </c>
      <c r="V33" s="2" t="n">
        <f aca="false">45-COUNT('Données brutes'!$BR$2:$BR$46)</f>
        <v>1</v>
      </c>
    </row>
    <row r="34" customFormat="false" ht="23.85" hidden="false" customHeight="false" outlineLevel="0" collapsed="false">
      <c r="A34" s="2" t="s">
        <v>403</v>
      </c>
      <c r="B34" s="2" t="s">
        <v>70</v>
      </c>
      <c r="C34" s="3" t="s">
        <v>404</v>
      </c>
      <c r="D34" s="2"/>
      <c r="E34" s="2" t="n">
        <f aca="false">COUNT('Données brutes'!$BS$2:$BS$46)</f>
        <v>42</v>
      </c>
      <c r="F34" s="4" t="n">
        <f aca="false">IFERROR(AVERAGE('Données brutes'!$BS$2:$BS$46),"")</f>
        <v>3.35714285714286</v>
      </c>
      <c r="G34" s="4" t="n">
        <f aca="false">IFERROR(STDEV('Données brutes'!$BS$2:$BS$46),"")</f>
        <v>1.14383668822869</v>
      </c>
      <c r="H34" s="4" t="n">
        <f aca="false">IFERROR(MEDIAN('Données brutes'!$BS$2:$BS$46),"")</f>
        <v>4</v>
      </c>
      <c r="I34" s="2" t="n">
        <f aca="false">COUNTIF('Données brutes'!$BS$2:$BS$46,1)</f>
        <v>3</v>
      </c>
      <c r="J34" s="2" t="n">
        <f aca="false">COUNTIF('Données brutes'!$BS$2:$BS$46,2)</f>
        <v>7</v>
      </c>
      <c r="K34" s="2" t="n">
        <f aca="false">COUNTIF('Données brutes'!$BS$2:$BS$46,3)</f>
        <v>10</v>
      </c>
      <c r="L34" s="2" t="n">
        <f aca="false">COUNTIF('Données brutes'!$BS$2:$BS$46,4)</f>
        <v>16</v>
      </c>
      <c r="M34" s="2" t="n">
        <f aca="false">COUNTIF('Données brutes'!$BS$2:$BS$46,5)</f>
        <v>6</v>
      </c>
      <c r="N34" s="5" t="n">
        <f aca="false">IFERROR(COUNTIF('Données brutes'!$BS$2:$BS$46,1)/COUNT('Données brutes'!$BS$2:$BS$46),"")</f>
        <v>0.0714285714285714</v>
      </c>
      <c r="O34" s="5" t="n">
        <f aca="false">IFERROR(COUNTIF('Données brutes'!$BS$2:$BS$46,2)/COUNT('Données brutes'!$BS$2:$BS$46),"")</f>
        <v>0.166666666666667</v>
      </c>
      <c r="P34" s="5" t="n">
        <f aca="false">IFERROR(COUNTIF('Données brutes'!$BS$2:$BS$46,3)/COUNT('Données brutes'!$BS$2:$BS$46),"")</f>
        <v>0.238095238095238</v>
      </c>
      <c r="Q34" s="5" t="n">
        <f aca="false">IFERROR(COUNTIF('Données brutes'!$BS$2:$BS$46,4)/COUNT('Données brutes'!$BS$2:$BS$46),"")</f>
        <v>0.380952380952381</v>
      </c>
      <c r="R34" s="5" t="n">
        <f aca="false">IFERROR(COUNTIF('Données brutes'!$BS$2:$BS$46,5)/COUNT('Données brutes'!$BS$2:$BS$46),"")</f>
        <v>0.142857142857143</v>
      </c>
      <c r="S34" s="5" t="n">
        <f aca="false">IFERROR(COUNTIF('Données brutes'!$BS$2:$BS$46,"&gt;=4")/COUNT('Données brutes'!$BS$2:$BS$46),"")</f>
        <v>0.523809523809524</v>
      </c>
      <c r="T34" s="5" t="n">
        <f aca="false">IFERROR(COUNTIF('Données brutes'!$BS$2:$BS$46,"&lt;=2")/COUNT('Données brutes'!$BS$2:$BS$46),"")</f>
        <v>0.238095238095238</v>
      </c>
      <c r="U34" s="5" t="n">
        <f aca="false">IFERROR(COUNTIF('Données brutes'!$BS$2:$BS$46,3)/COUNT('Données brutes'!$BS$2:$BS$46),"")</f>
        <v>0.238095238095238</v>
      </c>
      <c r="V34" s="2" t="n">
        <f aca="false">45-COUNT('Données brutes'!$BS$2:$BS$46)</f>
        <v>3</v>
      </c>
    </row>
    <row r="35" customFormat="false" ht="15" hidden="false" customHeight="false" outlineLevel="0" collapsed="false">
      <c r="A35" s="2" t="s">
        <v>403</v>
      </c>
      <c r="B35" s="2" t="s">
        <v>71</v>
      </c>
      <c r="C35" s="3" t="s">
        <v>405</v>
      </c>
      <c r="D35" s="2"/>
      <c r="E35" s="2" t="n">
        <f aca="false">COUNT('Données brutes'!$BT$2:$BT$46)</f>
        <v>45</v>
      </c>
      <c r="F35" s="4" t="n">
        <f aca="false">IFERROR(AVERAGE('Données brutes'!$BT$2:$BT$46),"")</f>
        <v>3.24444444444444</v>
      </c>
      <c r="G35" s="4" t="n">
        <f aca="false">IFERROR(STDEV('Données brutes'!$BT$2:$BT$46),"")</f>
        <v>1.09036181558641</v>
      </c>
      <c r="H35" s="4" t="n">
        <f aca="false">IFERROR(MEDIAN('Données brutes'!$BT$2:$BT$46),"")</f>
        <v>3</v>
      </c>
      <c r="I35" s="2" t="n">
        <f aca="false">COUNTIF('Données brutes'!$BT$2:$BT$46,1)</f>
        <v>3</v>
      </c>
      <c r="J35" s="2" t="n">
        <f aca="false">COUNTIF('Données brutes'!$BT$2:$BT$46,2)</f>
        <v>7</v>
      </c>
      <c r="K35" s="2" t="n">
        <f aca="false">COUNTIF('Données brutes'!$BT$2:$BT$46,3)</f>
        <v>17</v>
      </c>
      <c r="L35" s="2" t="n">
        <f aca="false">COUNTIF('Données brutes'!$BT$2:$BT$46,4)</f>
        <v>12</v>
      </c>
      <c r="M35" s="2" t="n">
        <f aca="false">COUNTIF('Données brutes'!$BT$2:$BT$46,5)</f>
        <v>6</v>
      </c>
      <c r="N35" s="5" t="n">
        <f aca="false">IFERROR(COUNTIF('Données brutes'!$BT$2:$BT$46,1)/COUNT('Données brutes'!$BT$2:$BT$46),"")</f>
        <v>0.0666666666666667</v>
      </c>
      <c r="O35" s="5" t="n">
        <f aca="false">IFERROR(COUNTIF('Données brutes'!$BT$2:$BT$46,2)/COUNT('Données brutes'!$BT$2:$BT$46),"")</f>
        <v>0.155555555555556</v>
      </c>
      <c r="P35" s="5" t="n">
        <f aca="false">IFERROR(COUNTIF('Données brutes'!$BT$2:$BT$46,3)/COUNT('Données brutes'!$BT$2:$BT$46),"")</f>
        <v>0.377777777777778</v>
      </c>
      <c r="Q35" s="5" t="n">
        <f aca="false">IFERROR(COUNTIF('Données brutes'!$BT$2:$BT$46,4)/COUNT('Données brutes'!$BT$2:$BT$46),"")</f>
        <v>0.266666666666667</v>
      </c>
      <c r="R35" s="5" t="n">
        <f aca="false">IFERROR(COUNTIF('Données brutes'!$BT$2:$BT$46,5)/COUNT('Données brutes'!$BT$2:$BT$46),"")</f>
        <v>0.133333333333333</v>
      </c>
      <c r="S35" s="5" t="n">
        <f aca="false">IFERROR(COUNTIF('Données brutes'!$BT$2:$BT$46,"&gt;=4")/COUNT('Données brutes'!$BT$2:$BT$46),"")</f>
        <v>0.4</v>
      </c>
      <c r="T35" s="5" t="n">
        <f aca="false">IFERROR(COUNTIF('Données brutes'!$BT$2:$BT$46,"&lt;=2")/COUNT('Données brutes'!$BT$2:$BT$46),"")</f>
        <v>0.222222222222222</v>
      </c>
      <c r="U35" s="5" t="n">
        <f aca="false">IFERROR(COUNTIF('Données brutes'!$BT$2:$BT$46,3)/COUNT('Données brutes'!$BT$2:$BT$46),"")</f>
        <v>0.377777777777778</v>
      </c>
      <c r="V35" s="2" t="n">
        <f aca="false">45-COUNT('Données brutes'!$BT$2:$BT$46)</f>
        <v>0</v>
      </c>
    </row>
    <row r="36" customFormat="false" ht="23.85" hidden="false" customHeight="false" outlineLevel="0" collapsed="false">
      <c r="A36" s="2" t="s">
        <v>403</v>
      </c>
      <c r="B36" s="2" t="s">
        <v>72</v>
      </c>
      <c r="C36" s="3" t="s">
        <v>406</v>
      </c>
      <c r="D36" s="2"/>
      <c r="E36" s="2" t="n">
        <f aca="false">COUNT('Données brutes'!$BU$2:$BU$46)</f>
        <v>45</v>
      </c>
      <c r="F36" s="4" t="n">
        <f aca="false">IFERROR(AVERAGE('Données brutes'!$BU$2:$BU$46),"")</f>
        <v>3.31111111111111</v>
      </c>
      <c r="G36" s="4" t="n">
        <f aca="false">IFERROR(STDEV('Données brutes'!$BU$2:$BU$46),"")</f>
        <v>1.10417024013144</v>
      </c>
      <c r="H36" s="4" t="n">
        <f aca="false">IFERROR(MEDIAN('Données brutes'!$BU$2:$BU$46),"")</f>
        <v>3</v>
      </c>
      <c r="I36" s="2" t="n">
        <f aca="false">COUNTIF('Données brutes'!$BU$2:$BU$46,1)</f>
        <v>1</v>
      </c>
      <c r="J36" s="2" t="n">
        <f aca="false">COUNTIF('Données brutes'!$BU$2:$BU$46,2)</f>
        <v>12</v>
      </c>
      <c r="K36" s="2" t="n">
        <f aca="false">COUNTIF('Données brutes'!$BU$2:$BU$46,3)</f>
        <v>11</v>
      </c>
      <c r="L36" s="2" t="n">
        <f aca="false">COUNTIF('Données brutes'!$BU$2:$BU$46,4)</f>
        <v>14</v>
      </c>
      <c r="M36" s="2" t="n">
        <f aca="false">COUNTIF('Données brutes'!$BU$2:$BU$46,5)</f>
        <v>7</v>
      </c>
      <c r="N36" s="5" t="n">
        <f aca="false">IFERROR(COUNTIF('Données brutes'!$BU$2:$BU$46,1)/COUNT('Données brutes'!$BU$2:$BU$46),"")</f>
        <v>0.0222222222222222</v>
      </c>
      <c r="O36" s="5" t="n">
        <f aca="false">IFERROR(COUNTIF('Données brutes'!$BU$2:$BU$46,2)/COUNT('Données brutes'!$BU$2:$BU$46),"")</f>
        <v>0.266666666666667</v>
      </c>
      <c r="P36" s="5" t="n">
        <f aca="false">IFERROR(COUNTIF('Données brutes'!$BU$2:$BU$46,3)/COUNT('Données brutes'!$BU$2:$BU$46),"")</f>
        <v>0.244444444444444</v>
      </c>
      <c r="Q36" s="5" t="n">
        <f aca="false">IFERROR(COUNTIF('Données brutes'!$BU$2:$BU$46,4)/COUNT('Données brutes'!$BU$2:$BU$46),"")</f>
        <v>0.311111111111111</v>
      </c>
      <c r="R36" s="5" t="n">
        <f aca="false">IFERROR(COUNTIF('Données brutes'!$BU$2:$BU$46,5)/COUNT('Données brutes'!$BU$2:$BU$46),"")</f>
        <v>0.155555555555556</v>
      </c>
      <c r="S36" s="5" t="n">
        <f aca="false">IFERROR(COUNTIF('Données brutes'!$BU$2:$BU$46,"&gt;=4")/COUNT('Données brutes'!$BU$2:$BU$46),"")</f>
        <v>0.466666666666667</v>
      </c>
      <c r="T36" s="5" t="n">
        <f aca="false">IFERROR(COUNTIF('Données brutes'!$BU$2:$BU$46,"&lt;=2")/COUNT('Données brutes'!$BU$2:$BU$46),"")</f>
        <v>0.288888888888889</v>
      </c>
      <c r="U36" s="5" t="n">
        <f aca="false">IFERROR(COUNTIF('Données brutes'!$BU$2:$BU$46,3)/COUNT('Données brutes'!$BU$2:$BU$46),"")</f>
        <v>0.244444444444444</v>
      </c>
      <c r="V36" s="2" t="n">
        <f aca="false">45-COUNT('Données brutes'!$BU$2:$BU$46)</f>
        <v>0</v>
      </c>
    </row>
    <row r="37" customFormat="false" ht="23.85" hidden="false" customHeight="false" outlineLevel="0" collapsed="false">
      <c r="A37" s="2" t="s">
        <v>408</v>
      </c>
      <c r="B37" s="2" t="s">
        <v>73</v>
      </c>
      <c r="C37" s="3" t="s">
        <v>407</v>
      </c>
      <c r="D37" s="2"/>
      <c r="E37" s="2" t="n">
        <f aca="false">COUNT('Données brutes'!$BV$2:$BV$46)</f>
        <v>45</v>
      </c>
      <c r="F37" s="4" t="n">
        <f aca="false">IFERROR(AVERAGE('Données brutes'!$BV$2:$BV$46),"")</f>
        <v>3.64444444444444</v>
      </c>
      <c r="G37" s="4" t="n">
        <f aca="false">IFERROR(STDEV('Données brutes'!$BV$2:$BV$46),"")</f>
        <v>1.2819650320638</v>
      </c>
      <c r="H37" s="4" t="n">
        <f aca="false">IFERROR(MEDIAN('Données brutes'!$BV$2:$BV$46),"")</f>
        <v>4</v>
      </c>
      <c r="I37" s="2" t="n">
        <f aca="false">COUNTIF('Données brutes'!$BV$2:$BV$46,1)</f>
        <v>3</v>
      </c>
      <c r="J37" s="2" t="n">
        <f aca="false">COUNTIF('Données brutes'!$BV$2:$BV$46,2)</f>
        <v>7</v>
      </c>
      <c r="K37" s="2" t="n">
        <f aca="false">COUNTIF('Données brutes'!$BV$2:$BV$46,3)</f>
        <v>8</v>
      </c>
      <c r="L37" s="2" t="n">
        <f aca="false">COUNTIF('Données brutes'!$BV$2:$BV$46,4)</f>
        <v>12</v>
      </c>
      <c r="M37" s="2" t="n">
        <f aca="false">COUNTIF('Données brutes'!$BV$2:$BV$46,5)</f>
        <v>15</v>
      </c>
      <c r="N37" s="5" t="n">
        <f aca="false">IFERROR(COUNTIF('Données brutes'!$BV$2:$BV$46,1)/COUNT('Données brutes'!$BV$2:$BV$46),"")</f>
        <v>0.0666666666666667</v>
      </c>
      <c r="O37" s="5" t="n">
        <f aca="false">IFERROR(COUNTIF('Données brutes'!$BV$2:$BV$46,2)/COUNT('Données brutes'!$BV$2:$BV$46),"")</f>
        <v>0.155555555555556</v>
      </c>
      <c r="P37" s="5" t="n">
        <f aca="false">IFERROR(COUNTIF('Données brutes'!$BV$2:$BV$46,3)/COUNT('Données brutes'!$BV$2:$BV$46),"")</f>
        <v>0.177777777777778</v>
      </c>
      <c r="Q37" s="5" t="n">
        <f aca="false">IFERROR(COUNTIF('Données brutes'!$BV$2:$BV$46,4)/COUNT('Données brutes'!$BV$2:$BV$46),"")</f>
        <v>0.266666666666667</v>
      </c>
      <c r="R37" s="5" t="n">
        <f aca="false">IFERROR(COUNTIF('Données brutes'!$BV$2:$BV$46,5)/COUNT('Données brutes'!$BV$2:$BV$46),"")</f>
        <v>0.333333333333333</v>
      </c>
      <c r="S37" s="5" t="n">
        <f aca="false">IFERROR(COUNTIF('Données brutes'!$BV$2:$BV$46,"&gt;=4")/COUNT('Données brutes'!$BV$2:$BV$46),"")</f>
        <v>0.6</v>
      </c>
      <c r="T37" s="5" t="n">
        <f aca="false">IFERROR(COUNTIF('Données brutes'!$BV$2:$BV$46,"&lt;=2")/COUNT('Données brutes'!$BV$2:$BV$46),"")</f>
        <v>0.222222222222222</v>
      </c>
      <c r="U37" s="5" t="n">
        <f aca="false">IFERROR(COUNTIF('Données brutes'!$BV$2:$BV$46,3)/COUNT('Données brutes'!$BV$2:$BV$46),"")</f>
        <v>0.177777777777778</v>
      </c>
      <c r="V37" s="2" t="n">
        <f aca="false">45-COUNT('Données brutes'!$BV$2:$BV$46)</f>
        <v>0</v>
      </c>
    </row>
    <row r="38" customFormat="false" ht="15" hidden="false" customHeight="false" outlineLevel="0" collapsed="false">
      <c r="A38" s="2" t="s">
        <v>408</v>
      </c>
      <c r="B38" s="2" t="s">
        <v>74</v>
      </c>
      <c r="C38" s="3" t="s">
        <v>409</v>
      </c>
      <c r="D38" s="2"/>
      <c r="E38" s="2" t="n">
        <f aca="false">COUNT('Données brutes'!$BW$2:$BW$46)</f>
        <v>45</v>
      </c>
      <c r="F38" s="4" t="n">
        <f aca="false">IFERROR(AVERAGE('Données brutes'!$BW$2:$BW$46),"")</f>
        <v>3.44444444444444</v>
      </c>
      <c r="G38" s="4" t="n">
        <f aca="false">IFERROR(STDEV('Données brutes'!$BW$2:$BW$46),"")</f>
        <v>1.25327852878244</v>
      </c>
      <c r="H38" s="4" t="n">
        <f aca="false">IFERROR(MEDIAN('Données brutes'!$BW$2:$BW$46),"")</f>
        <v>3</v>
      </c>
      <c r="I38" s="2" t="n">
        <f aca="false">COUNTIF('Données brutes'!$BW$2:$BW$46,1)</f>
        <v>3</v>
      </c>
      <c r="J38" s="2" t="n">
        <f aca="false">COUNTIF('Données brutes'!$BW$2:$BW$46,2)</f>
        <v>8</v>
      </c>
      <c r="K38" s="2" t="n">
        <f aca="false">COUNTIF('Données brutes'!$BW$2:$BW$46,3)</f>
        <v>12</v>
      </c>
      <c r="L38" s="2" t="n">
        <f aca="false">COUNTIF('Données brutes'!$BW$2:$BW$46,4)</f>
        <v>10</v>
      </c>
      <c r="M38" s="2" t="n">
        <f aca="false">COUNTIF('Données brutes'!$BW$2:$BW$46,5)</f>
        <v>12</v>
      </c>
      <c r="N38" s="5" t="n">
        <f aca="false">IFERROR(COUNTIF('Données brutes'!$BW$2:$BW$46,1)/COUNT('Données brutes'!$BW$2:$BW$46),"")</f>
        <v>0.0666666666666667</v>
      </c>
      <c r="O38" s="5" t="n">
        <f aca="false">IFERROR(COUNTIF('Données brutes'!$BW$2:$BW$46,2)/COUNT('Données brutes'!$BW$2:$BW$46),"")</f>
        <v>0.177777777777778</v>
      </c>
      <c r="P38" s="5" t="n">
        <f aca="false">IFERROR(COUNTIF('Données brutes'!$BW$2:$BW$46,3)/COUNT('Données brutes'!$BW$2:$BW$46),"")</f>
        <v>0.266666666666667</v>
      </c>
      <c r="Q38" s="5" t="n">
        <f aca="false">IFERROR(COUNTIF('Données brutes'!$BW$2:$BW$46,4)/COUNT('Données brutes'!$BW$2:$BW$46),"")</f>
        <v>0.222222222222222</v>
      </c>
      <c r="R38" s="5" t="n">
        <f aca="false">IFERROR(COUNTIF('Données brutes'!$BW$2:$BW$46,5)/COUNT('Données brutes'!$BW$2:$BW$46),"")</f>
        <v>0.266666666666667</v>
      </c>
      <c r="S38" s="5" t="n">
        <f aca="false">IFERROR(COUNTIF('Données brutes'!$BW$2:$BW$46,"&gt;=4")/COUNT('Données brutes'!$BW$2:$BW$46),"")</f>
        <v>0.488888888888889</v>
      </c>
      <c r="T38" s="5" t="n">
        <f aca="false">IFERROR(COUNTIF('Données brutes'!$BW$2:$BW$46,"&lt;=2")/COUNT('Données brutes'!$BW$2:$BW$46),"")</f>
        <v>0.244444444444444</v>
      </c>
      <c r="U38" s="5" t="n">
        <f aca="false">IFERROR(COUNTIF('Données brutes'!$BW$2:$BW$46,3)/COUNT('Données brutes'!$BW$2:$BW$46),"")</f>
        <v>0.266666666666667</v>
      </c>
      <c r="V38" s="2" t="n">
        <f aca="false">45-COUNT('Données brutes'!$BW$2:$BW$46)</f>
        <v>0</v>
      </c>
    </row>
    <row r="39" customFormat="false" ht="15" hidden="false" customHeight="false" outlineLevel="0" collapsed="false">
      <c r="A39" s="2" t="s">
        <v>408</v>
      </c>
      <c r="B39" s="2" t="s">
        <v>75</v>
      </c>
      <c r="C39" s="3" t="s">
        <v>410</v>
      </c>
      <c r="D39" s="2"/>
      <c r="E39" s="2" t="n">
        <f aca="false">COUNT('Données brutes'!$BX$2:$BX$46)</f>
        <v>43</v>
      </c>
      <c r="F39" s="4" t="n">
        <f aca="false">IFERROR(AVERAGE('Données brutes'!$BX$2:$BX$46),"")</f>
        <v>3.27906976744186</v>
      </c>
      <c r="G39" s="4" t="n">
        <f aca="false">IFERROR(STDEV('Données brutes'!$BX$2:$BX$46),"")</f>
        <v>1.27849579389868</v>
      </c>
      <c r="H39" s="4" t="n">
        <f aca="false">IFERROR(MEDIAN('Données brutes'!$BX$2:$BX$46),"")</f>
        <v>3</v>
      </c>
      <c r="I39" s="2" t="n">
        <f aca="false">COUNTIF('Données brutes'!$BX$2:$BX$46,1)</f>
        <v>4</v>
      </c>
      <c r="J39" s="2" t="n">
        <f aca="false">COUNTIF('Données brutes'!$BX$2:$BX$46,2)</f>
        <v>9</v>
      </c>
      <c r="K39" s="2" t="n">
        <f aca="false">COUNTIF('Données brutes'!$BX$2:$BX$46,3)</f>
        <v>10</v>
      </c>
      <c r="L39" s="2" t="n">
        <f aca="false">COUNTIF('Données brutes'!$BX$2:$BX$46,4)</f>
        <v>11</v>
      </c>
      <c r="M39" s="2" t="n">
        <f aca="false">COUNTIF('Données brutes'!$BX$2:$BX$46,5)</f>
        <v>9</v>
      </c>
      <c r="N39" s="5" t="n">
        <f aca="false">IFERROR(COUNTIF('Données brutes'!$BX$2:$BX$46,1)/COUNT('Données brutes'!$BX$2:$BX$46),"")</f>
        <v>0.0930232558139535</v>
      </c>
      <c r="O39" s="5" t="n">
        <f aca="false">IFERROR(COUNTIF('Données brutes'!$BX$2:$BX$46,2)/COUNT('Données brutes'!$BX$2:$BX$46),"")</f>
        <v>0.209302325581395</v>
      </c>
      <c r="P39" s="5" t="n">
        <f aca="false">IFERROR(COUNTIF('Données brutes'!$BX$2:$BX$46,3)/COUNT('Données brutes'!$BX$2:$BX$46),"")</f>
        <v>0.232558139534884</v>
      </c>
      <c r="Q39" s="5" t="n">
        <f aca="false">IFERROR(COUNTIF('Données brutes'!$BX$2:$BX$46,4)/COUNT('Données brutes'!$BX$2:$BX$46),"")</f>
        <v>0.255813953488372</v>
      </c>
      <c r="R39" s="5" t="n">
        <f aca="false">IFERROR(COUNTIF('Données brutes'!$BX$2:$BX$46,5)/COUNT('Données brutes'!$BX$2:$BX$46),"")</f>
        <v>0.209302325581395</v>
      </c>
      <c r="S39" s="5" t="n">
        <f aca="false">IFERROR(COUNTIF('Données brutes'!$BX$2:$BX$46,"&gt;=4")/COUNT('Données brutes'!$BX$2:$BX$46),"")</f>
        <v>0.465116279069767</v>
      </c>
      <c r="T39" s="5" t="n">
        <f aca="false">IFERROR(COUNTIF('Données brutes'!$BX$2:$BX$46,"&lt;=2")/COUNT('Données brutes'!$BX$2:$BX$46),"")</f>
        <v>0.302325581395349</v>
      </c>
      <c r="U39" s="5" t="n">
        <f aca="false">IFERROR(COUNTIF('Données brutes'!$BX$2:$BX$46,3)/COUNT('Données brutes'!$BX$2:$BX$46),"")</f>
        <v>0.232558139534884</v>
      </c>
      <c r="V39" s="2" t="n">
        <f aca="false">45-COUNT('Données brutes'!$BX$2:$BX$46)</f>
        <v>2</v>
      </c>
    </row>
    <row r="40" customFormat="false" ht="15" hidden="false" customHeight="false" outlineLevel="0" collapsed="false">
      <c r="A40" s="2" t="s">
        <v>408</v>
      </c>
      <c r="B40" s="2" t="s">
        <v>76</v>
      </c>
      <c r="C40" s="3" t="s">
        <v>411</v>
      </c>
      <c r="D40" s="2"/>
      <c r="E40" s="2" t="n">
        <f aca="false">COUNT('Données brutes'!$BY$2:$BY$46)</f>
        <v>42</v>
      </c>
      <c r="F40" s="4" t="n">
        <f aca="false">IFERROR(AVERAGE('Données brutes'!$BY$2:$BY$46),"")</f>
        <v>3.23809523809524</v>
      </c>
      <c r="G40" s="4" t="n">
        <f aca="false">IFERROR(STDEV('Données brutes'!$BY$2:$BY$46),"")</f>
        <v>1.20587027190312</v>
      </c>
      <c r="H40" s="4" t="n">
        <f aca="false">IFERROR(MEDIAN('Données brutes'!$BY$2:$BY$46),"")</f>
        <v>3</v>
      </c>
      <c r="I40" s="2" t="n">
        <f aca="false">COUNTIF('Données brutes'!$BY$2:$BY$46,1)</f>
        <v>5</v>
      </c>
      <c r="J40" s="2" t="n">
        <f aca="false">COUNTIF('Données brutes'!$BY$2:$BY$46,2)</f>
        <v>5</v>
      </c>
      <c r="K40" s="2" t="n">
        <f aca="false">COUNTIF('Données brutes'!$BY$2:$BY$46,3)</f>
        <v>13</v>
      </c>
      <c r="L40" s="2" t="n">
        <f aca="false">COUNTIF('Données brutes'!$BY$2:$BY$46,4)</f>
        <v>13</v>
      </c>
      <c r="M40" s="2" t="n">
        <f aca="false">COUNTIF('Données brutes'!$BY$2:$BY$46,5)</f>
        <v>6</v>
      </c>
      <c r="N40" s="5" t="n">
        <f aca="false">IFERROR(COUNTIF('Données brutes'!$BY$2:$BY$46,1)/COUNT('Données brutes'!$BY$2:$BY$46),"")</f>
        <v>0.119047619047619</v>
      </c>
      <c r="O40" s="5" t="n">
        <f aca="false">IFERROR(COUNTIF('Données brutes'!$BY$2:$BY$46,2)/COUNT('Données brutes'!$BY$2:$BY$46),"")</f>
        <v>0.119047619047619</v>
      </c>
      <c r="P40" s="5" t="n">
        <f aca="false">IFERROR(COUNTIF('Données brutes'!$BY$2:$BY$46,3)/COUNT('Données brutes'!$BY$2:$BY$46),"")</f>
        <v>0.30952380952381</v>
      </c>
      <c r="Q40" s="5" t="n">
        <f aca="false">IFERROR(COUNTIF('Données brutes'!$BY$2:$BY$46,4)/COUNT('Données brutes'!$BY$2:$BY$46),"")</f>
        <v>0.30952380952381</v>
      </c>
      <c r="R40" s="5" t="n">
        <f aca="false">IFERROR(COUNTIF('Données brutes'!$BY$2:$BY$46,5)/COUNT('Données brutes'!$BY$2:$BY$46),"")</f>
        <v>0.142857142857143</v>
      </c>
      <c r="S40" s="5" t="n">
        <f aca="false">IFERROR(COUNTIF('Données brutes'!$BY$2:$BY$46,"&gt;=4")/COUNT('Données brutes'!$BY$2:$BY$46),"")</f>
        <v>0.452380952380952</v>
      </c>
      <c r="T40" s="5" t="n">
        <f aca="false">IFERROR(COUNTIF('Données brutes'!$BY$2:$BY$46,"&lt;=2")/COUNT('Données brutes'!$BY$2:$BY$46),"")</f>
        <v>0.238095238095238</v>
      </c>
      <c r="U40" s="5" t="n">
        <f aca="false">IFERROR(COUNTIF('Données brutes'!$BY$2:$BY$46,3)/COUNT('Données brutes'!$BY$2:$BY$46),"")</f>
        <v>0.30952380952381</v>
      </c>
      <c r="V40" s="2" t="n">
        <f aca="false">45-COUNT('Données brutes'!$BY$2:$BY$46)</f>
        <v>3</v>
      </c>
    </row>
    <row r="41" customFormat="false" ht="23.85" hidden="false" customHeight="false" outlineLevel="0" collapsed="false">
      <c r="A41" s="2" t="s">
        <v>408</v>
      </c>
      <c r="B41" s="2" t="s">
        <v>77</v>
      </c>
      <c r="C41" s="3" t="s">
        <v>412</v>
      </c>
      <c r="D41" s="2"/>
      <c r="E41" s="2" t="n">
        <f aca="false">COUNT('Données brutes'!$BZ$2:$BZ$46)</f>
        <v>43</v>
      </c>
      <c r="F41" s="4" t="n">
        <f aca="false">IFERROR(AVERAGE('Données brutes'!$BZ$2:$BZ$46),"")</f>
        <v>3.16279069767442</v>
      </c>
      <c r="G41" s="4" t="n">
        <f aca="false">IFERROR(STDEV('Données brutes'!$BZ$2:$BZ$46),"")</f>
        <v>1.36155080625243</v>
      </c>
      <c r="H41" s="4" t="n">
        <f aca="false">IFERROR(MEDIAN('Données brutes'!$BZ$2:$BZ$46),"")</f>
        <v>3</v>
      </c>
      <c r="I41" s="2" t="n">
        <f aca="false">COUNTIF('Données brutes'!$BZ$2:$BZ$46,1)</f>
        <v>6</v>
      </c>
      <c r="J41" s="2" t="n">
        <f aca="false">COUNTIF('Données brutes'!$BZ$2:$BZ$46,2)</f>
        <v>9</v>
      </c>
      <c r="K41" s="2" t="n">
        <f aca="false">COUNTIF('Données brutes'!$BZ$2:$BZ$46,3)</f>
        <v>9</v>
      </c>
      <c r="L41" s="2" t="n">
        <f aca="false">COUNTIF('Données brutes'!$BZ$2:$BZ$46,4)</f>
        <v>10</v>
      </c>
      <c r="M41" s="2" t="n">
        <f aca="false">COUNTIF('Données brutes'!$BZ$2:$BZ$46,5)</f>
        <v>9</v>
      </c>
      <c r="N41" s="5" t="n">
        <f aca="false">IFERROR(COUNTIF('Données brutes'!$BZ$2:$BZ$46,1)/COUNT('Données brutes'!$BZ$2:$BZ$46),"")</f>
        <v>0.13953488372093</v>
      </c>
      <c r="O41" s="5" t="n">
        <f aca="false">IFERROR(COUNTIF('Données brutes'!$BZ$2:$BZ$46,2)/COUNT('Données brutes'!$BZ$2:$BZ$46),"")</f>
        <v>0.209302325581395</v>
      </c>
      <c r="P41" s="5" t="n">
        <f aca="false">IFERROR(COUNTIF('Données brutes'!$BZ$2:$BZ$46,3)/COUNT('Données brutes'!$BZ$2:$BZ$46),"")</f>
        <v>0.209302325581395</v>
      </c>
      <c r="Q41" s="5" t="n">
        <f aca="false">IFERROR(COUNTIF('Données brutes'!$BZ$2:$BZ$46,4)/COUNT('Données brutes'!$BZ$2:$BZ$46),"")</f>
        <v>0.232558139534884</v>
      </c>
      <c r="R41" s="5" t="n">
        <f aca="false">IFERROR(COUNTIF('Données brutes'!$BZ$2:$BZ$46,5)/COUNT('Données brutes'!$BZ$2:$BZ$46),"")</f>
        <v>0.209302325581395</v>
      </c>
      <c r="S41" s="5" t="n">
        <f aca="false">IFERROR(COUNTIF('Données brutes'!$BZ$2:$BZ$46,"&gt;=4")/COUNT('Données brutes'!$BZ$2:$BZ$46),"")</f>
        <v>0.441860465116279</v>
      </c>
      <c r="T41" s="5" t="n">
        <f aca="false">IFERROR(COUNTIF('Données brutes'!$BZ$2:$BZ$46,"&lt;=2")/COUNT('Données brutes'!$BZ$2:$BZ$46),"")</f>
        <v>0.348837209302326</v>
      </c>
      <c r="U41" s="5" t="n">
        <f aca="false">IFERROR(COUNTIF('Données brutes'!$BZ$2:$BZ$46,3)/COUNT('Données brutes'!$BZ$2:$BZ$46),"")</f>
        <v>0.209302325581395</v>
      </c>
      <c r="V41" s="2" t="n">
        <f aca="false">45-COUNT('Données brutes'!$BZ$2:$BZ$46)</f>
        <v>2</v>
      </c>
    </row>
    <row r="42" customFormat="false" ht="15" hidden="false" customHeight="false" outlineLevel="0" collapsed="false">
      <c r="A42" s="2" t="s">
        <v>418</v>
      </c>
      <c r="B42" s="2" t="s">
        <v>84</v>
      </c>
      <c r="C42" s="3" t="s">
        <v>417</v>
      </c>
      <c r="D42" s="2"/>
      <c r="E42" s="2" t="n">
        <f aca="false">COUNT('Données brutes'!$CG$2:$CG$46)</f>
        <v>44</v>
      </c>
      <c r="F42" s="4" t="n">
        <f aca="false">IFERROR(AVERAGE('Données brutes'!$CG$2:$CG$46),"")</f>
        <v>3.15909090909091</v>
      </c>
      <c r="G42" s="4" t="n">
        <f aca="false">IFERROR(STDEV('Données brutes'!$CG$2:$CG$46),"")</f>
        <v>1.11945131531358</v>
      </c>
      <c r="H42" s="4" t="n">
        <f aca="false">IFERROR(MEDIAN('Données brutes'!$CG$2:$CG$46),"")</f>
        <v>3</v>
      </c>
      <c r="I42" s="2" t="n">
        <f aca="false">COUNTIF('Données brutes'!$CG$2:$CG$46,1)</f>
        <v>3</v>
      </c>
      <c r="J42" s="2" t="n">
        <f aca="false">COUNTIF('Données brutes'!$CG$2:$CG$46,2)</f>
        <v>9</v>
      </c>
      <c r="K42" s="2" t="n">
        <f aca="false">COUNTIF('Données brutes'!$CG$2:$CG$46,3)</f>
        <v>16</v>
      </c>
      <c r="L42" s="2" t="n">
        <f aca="false">COUNTIF('Données brutes'!$CG$2:$CG$46,4)</f>
        <v>10</v>
      </c>
      <c r="M42" s="2" t="n">
        <f aca="false">COUNTIF('Données brutes'!$CG$2:$CG$46,5)</f>
        <v>6</v>
      </c>
      <c r="N42" s="5" t="n">
        <f aca="false">IFERROR(COUNTIF('Données brutes'!$CG$2:$CG$46,1)/COUNT('Données brutes'!$CG$2:$CG$46),"")</f>
        <v>0.0681818181818182</v>
      </c>
      <c r="O42" s="5" t="n">
        <f aca="false">IFERROR(COUNTIF('Données brutes'!$CG$2:$CG$46,2)/COUNT('Données brutes'!$CG$2:$CG$46),"")</f>
        <v>0.204545454545455</v>
      </c>
      <c r="P42" s="5" t="n">
        <f aca="false">IFERROR(COUNTIF('Données brutes'!$CG$2:$CG$46,3)/COUNT('Données brutes'!$CG$2:$CG$46),"")</f>
        <v>0.363636363636364</v>
      </c>
      <c r="Q42" s="5" t="n">
        <f aca="false">IFERROR(COUNTIF('Données brutes'!$CG$2:$CG$46,4)/COUNT('Données brutes'!$CG$2:$CG$46),"")</f>
        <v>0.227272727272727</v>
      </c>
      <c r="R42" s="5" t="n">
        <f aca="false">IFERROR(COUNTIF('Données brutes'!$CG$2:$CG$46,5)/COUNT('Données brutes'!$CG$2:$CG$46),"")</f>
        <v>0.136363636363636</v>
      </c>
      <c r="S42" s="5" t="n">
        <f aca="false">IFERROR(COUNTIF('Données brutes'!$CG$2:$CG$46,"&gt;=4")/COUNT('Données brutes'!$CG$2:$CG$46),"")</f>
        <v>0.363636363636364</v>
      </c>
      <c r="T42" s="5" t="n">
        <f aca="false">IFERROR(COUNTIF('Données brutes'!$CG$2:$CG$46,"&lt;=2")/COUNT('Données brutes'!$CG$2:$CG$46),"")</f>
        <v>0.272727272727273</v>
      </c>
      <c r="U42" s="5" t="n">
        <f aca="false">IFERROR(COUNTIF('Données brutes'!$CG$2:$CG$46,3)/COUNT('Données brutes'!$CG$2:$CG$46),"")</f>
        <v>0.363636363636364</v>
      </c>
      <c r="V42" s="2" t="n">
        <f aca="false">45-COUNT('Données brutes'!$CG$2:$CG$46)</f>
        <v>1</v>
      </c>
    </row>
    <row r="43" customFormat="false" ht="23.85" hidden="false" customHeight="false" outlineLevel="0" collapsed="false">
      <c r="A43" s="2" t="s">
        <v>418</v>
      </c>
      <c r="B43" s="2" t="s">
        <v>85</v>
      </c>
      <c r="C43" s="3" t="s">
        <v>419</v>
      </c>
      <c r="D43" s="2"/>
      <c r="E43" s="2" t="n">
        <f aca="false">COUNT('Données brutes'!$CH$2:$CH$46)</f>
        <v>44</v>
      </c>
      <c r="F43" s="4" t="n">
        <f aca="false">IFERROR(AVERAGE('Données brutes'!$CH$2:$CH$46),"")</f>
        <v>3.31818181818182</v>
      </c>
      <c r="G43" s="4" t="n">
        <f aca="false">IFERROR(STDEV('Données brutes'!$CH$2:$CH$46),"")</f>
        <v>1.1963651786106</v>
      </c>
      <c r="H43" s="4" t="n">
        <f aca="false">IFERROR(MEDIAN('Données brutes'!$CH$2:$CH$46),"")</f>
        <v>3</v>
      </c>
      <c r="I43" s="2" t="n">
        <f aca="false">COUNTIF('Données brutes'!$CH$2:$CH$46,1)</f>
        <v>4</v>
      </c>
      <c r="J43" s="2" t="n">
        <f aca="false">COUNTIF('Données brutes'!$CH$2:$CH$46,2)</f>
        <v>6</v>
      </c>
      <c r="K43" s="2" t="n">
        <f aca="false">COUNTIF('Données brutes'!$CH$2:$CH$46,3)</f>
        <v>14</v>
      </c>
      <c r="L43" s="2" t="n">
        <f aca="false">COUNTIF('Données brutes'!$CH$2:$CH$46,4)</f>
        <v>12</v>
      </c>
      <c r="M43" s="2" t="n">
        <f aca="false">COUNTIF('Données brutes'!$CH$2:$CH$46,5)</f>
        <v>8</v>
      </c>
      <c r="N43" s="5" t="n">
        <f aca="false">IFERROR(COUNTIF('Données brutes'!$CH$2:$CH$46,1)/COUNT('Données brutes'!$CH$2:$CH$46),"")</f>
        <v>0.0909090909090909</v>
      </c>
      <c r="O43" s="5" t="n">
        <f aca="false">IFERROR(COUNTIF('Données brutes'!$CH$2:$CH$46,2)/COUNT('Données brutes'!$CH$2:$CH$46),"")</f>
        <v>0.136363636363636</v>
      </c>
      <c r="P43" s="5" t="n">
        <f aca="false">IFERROR(COUNTIF('Données brutes'!$CH$2:$CH$46,3)/COUNT('Données brutes'!$CH$2:$CH$46),"")</f>
        <v>0.318181818181818</v>
      </c>
      <c r="Q43" s="5" t="n">
        <f aca="false">IFERROR(COUNTIF('Données brutes'!$CH$2:$CH$46,4)/COUNT('Données brutes'!$CH$2:$CH$46),"")</f>
        <v>0.272727272727273</v>
      </c>
      <c r="R43" s="5" t="n">
        <f aca="false">IFERROR(COUNTIF('Données brutes'!$CH$2:$CH$46,5)/COUNT('Données brutes'!$CH$2:$CH$46),"")</f>
        <v>0.181818181818182</v>
      </c>
      <c r="S43" s="5" t="n">
        <f aca="false">IFERROR(COUNTIF('Données brutes'!$CH$2:$CH$46,"&gt;=4")/COUNT('Données brutes'!$CH$2:$CH$46),"")</f>
        <v>0.454545454545455</v>
      </c>
      <c r="T43" s="5" t="n">
        <f aca="false">IFERROR(COUNTIF('Données brutes'!$CH$2:$CH$46,"&lt;=2")/COUNT('Données brutes'!$CH$2:$CH$46),"")</f>
        <v>0.227272727272727</v>
      </c>
      <c r="U43" s="5" t="n">
        <f aca="false">IFERROR(COUNTIF('Données brutes'!$CH$2:$CH$46,3)/COUNT('Données brutes'!$CH$2:$CH$46),"")</f>
        <v>0.318181818181818</v>
      </c>
      <c r="V43" s="2" t="n">
        <f aca="false">45-COUNT('Données brutes'!$CH$2:$CH$46)</f>
        <v>1</v>
      </c>
    </row>
    <row r="44" customFormat="false" ht="23.85" hidden="false" customHeight="false" outlineLevel="0" collapsed="false">
      <c r="A44" s="2" t="s">
        <v>418</v>
      </c>
      <c r="B44" s="2" t="s">
        <v>86</v>
      </c>
      <c r="C44" s="3" t="s">
        <v>420</v>
      </c>
      <c r="D44" s="2"/>
      <c r="E44" s="2" t="n">
        <f aca="false">COUNT('Données brutes'!$CI$2:$CI$46)</f>
        <v>43</v>
      </c>
      <c r="F44" s="4" t="n">
        <f aca="false">IFERROR(AVERAGE('Données brutes'!$CI$2:$CI$46),"")</f>
        <v>3.2093023255814</v>
      </c>
      <c r="G44" s="4" t="n">
        <f aca="false">IFERROR(STDEV('Données brutes'!$CI$2:$CI$46),"")</f>
        <v>1.2828194308387</v>
      </c>
      <c r="H44" s="4" t="n">
        <f aca="false">IFERROR(MEDIAN('Données brutes'!$CI$2:$CI$46),"")</f>
        <v>3</v>
      </c>
      <c r="I44" s="2" t="n">
        <f aca="false">COUNTIF('Données brutes'!$CI$2:$CI$46,1)</f>
        <v>5</v>
      </c>
      <c r="J44" s="2" t="n">
        <f aca="false">COUNTIF('Données brutes'!$CI$2:$CI$46,2)</f>
        <v>8</v>
      </c>
      <c r="K44" s="2" t="n">
        <f aca="false">COUNTIF('Données brutes'!$CI$2:$CI$46,3)</f>
        <v>11</v>
      </c>
      <c r="L44" s="2" t="n">
        <f aca="false">COUNTIF('Données brutes'!$CI$2:$CI$46,4)</f>
        <v>11</v>
      </c>
      <c r="M44" s="2" t="n">
        <f aca="false">COUNTIF('Données brutes'!$CI$2:$CI$46,5)</f>
        <v>8</v>
      </c>
      <c r="N44" s="5" t="n">
        <f aca="false">IFERROR(COUNTIF('Données brutes'!$CI$2:$CI$46,1)/COUNT('Données brutes'!$CI$2:$CI$46),"")</f>
        <v>0.116279069767442</v>
      </c>
      <c r="O44" s="5" t="n">
        <f aca="false">IFERROR(COUNTIF('Données brutes'!$CI$2:$CI$46,2)/COUNT('Données brutes'!$CI$2:$CI$46),"")</f>
        <v>0.186046511627907</v>
      </c>
      <c r="P44" s="5" t="n">
        <f aca="false">IFERROR(COUNTIF('Données brutes'!$CI$2:$CI$46,3)/COUNT('Données brutes'!$CI$2:$CI$46),"")</f>
        <v>0.255813953488372</v>
      </c>
      <c r="Q44" s="5" t="n">
        <f aca="false">IFERROR(COUNTIF('Données brutes'!$CI$2:$CI$46,4)/COUNT('Données brutes'!$CI$2:$CI$46),"")</f>
        <v>0.255813953488372</v>
      </c>
      <c r="R44" s="5" t="n">
        <f aca="false">IFERROR(COUNTIF('Données brutes'!$CI$2:$CI$46,5)/COUNT('Données brutes'!$CI$2:$CI$46),"")</f>
        <v>0.186046511627907</v>
      </c>
      <c r="S44" s="5" t="n">
        <f aca="false">IFERROR(COUNTIF('Données brutes'!$CI$2:$CI$46,"&gt;=4")/COUNT('Données brutes'!$CI$2:$CI$46),"")</f>
        <v>0.441860465116279</v>
      </c>
      <c r="T44" s="5" t="n">
        <f aca="false">IFERROR(COUNTIF('Données brutes'!$CI$2:$CI$46,"&lt;=2")/COUNT('Données brutes'!$CI$2:$CI$46),"")</f>
        <v>0.302325581395349</v>
      </c>
      <c r="U44" s="5" t="n">
        <f aca="false">IFERROR(COUNTIF('Données brutes'!$CI$2:$CI$46,3)/COUNT('Données brutes'!$CI$2:$CI$46),"")</f>
        <v>0.255813953488372</v>
      </c>
      <c r="V44" s="2" t="n">
        <f aca="false">45-COUNT('Données brutes'!$CI$2:$CI$46)</f>
        <v>2</v>
      </c>
    </row>
    <row r="45" customFormat="false" ht="23.85" hidden="false" customHeight="false" outlineLevel="0" collapsed="false">
      <c r="A45" s="2" t="s">
        <v>418</v>
      </c>
      <c r="B45" s="2" t="s">
        <v>87</v>
      </c>
      <c r="C45" s="3" t="s">
        <v>421</v>
      </c>
      <c r="D45" s="2"/>
      <c r="E45" s="2" t="n">
        <f aca="false">COUNT('Données brutes'!$CJ$2:$CJ$46)</f>
        <v>45</v>
      </c>
      <c r="F45" s="4" t="n">
        <f aca="false">IFERROR(AVERAGE('Données brutes'!$CJ$2:$CJ$46),"")</f>
        <v>3.17777777777778</v>
      </c>
      <c r="G45" s="4" t="n">
        <f aca="false">IFERROR(STDEV('Données brutes'!$CJ$2:$CJ$46),"")</f>
        <v>1.17335743776893</v>
      </c>
      <c r="H45" s="4" t="n">
        <f aca="false">IFERROR(MEDIAN('Données brutes'!$CJ$2:$CJ$46),"")</f>
        <v>3</v>
      </c>
      <c r="I45" s="2" t="n">
        <f aca="false">COUNTIF('Données brutes'!$CJ$2:$CJ$46,1)</f>
        <v>4</v>
      </c>
      <c r="J45" s="2" t="n">
        <f aca="false">COUNTIF('Données brutes'!$CJ$2:$CJ$46,2)</f>
        <v>8</v>
      </c>
      <c r="K45" s="2" t="n">
        <f aca="false">COUNTIF('Données brutes'!$CJ$2:$CJ$46,3)</f>
        <v>16</v>
      </c>
      <c r="L45" s="2" t="n">
        <f aca="false">COUNTIF('Données brutes'!$CJ$2:$CJ$46,4)</f>
        <v>10</v>
      </c>
      <c r="M45" s="2" t="n">
        <f aca="false">COUNTIF('Données brutes'!$CJ$2:$CJ$46,5)</f>
        <v>7</v>
      </c>
      <c r="N45" s="5" t="n">
        <f aca="false">IFERROR(COUNTIF('Données brutes'!$CJ$2:$CJ$46,1)/COUNT('Données brutes'!$CJ$2:$CJ$46),"")</f>
        <v>0.0888888888888889</v>
      </c>
      <c r="O45" s="5" t="n">
        <f aca="false">IFERROR(COUNTIF('Données brutes'!$CJ$2:$CJ$46,2)/COUNT('Données brutes'!$CJ$2:$CJ$46),"")</f>
        <v>0.177777777777778</v>
      </c>
      <c r="P45" s="5" t="n">
        <f aca="false">IFERROR(COUNTIF('Données brutes'!$CJ$2:$CJ$46,3)/COUNT('Données brutes'!$CJ$2:$CJ$46),"")</f>
        <v>0.355555555555556</v>
      </c>
      <c r="Q45" s="5" t="n">
        <f aca="false">IFERROR(COUNTIF('Données brutes'!$CJ$2:$CJ$46,4)/COUNT('Données brutes'!$CJ$2:$CJ$46),"")</f>
        <v>0.222222222222222</v>
      </c>
      <c r="R45" s="5" t="n">
        <f aca="false">IFERROR(COUNTIF('Données brutes'!$CJ$2:$CJ$46,5)/COUNT('Données brutes'!$CJ$2:$CJ$46),"")</f>
        <v>0.155555555555556</v>
      </c>
      <c r="S45" s="5" t="n">
        <f aca="false">IFERROR(COUNTIF('Données brutes'!$CJ$2:$CJ$46,"&gt;=4")/COUNT('Données brutes'!$CJ$2:$CJ$46),"")</f>
        <v>0.377777777777778</v>
      </c>
      <c r="T45" s="5" t="n">
        <f aca="false">IFERROR(COUNTIF('Données brutes'!$CJ$2:$CJ$46,"&lt;=2")/COUNT('Données brutes'!$CJ$2:$CJ$46),"")</f>
        <v>0.266666666666667</v>
      </c>
      <c r="U45" s="5" t="n">
        <f aca="false">IFERROR(COUNTIF('Données brutes'!$CJ$2:$CJ$46,3)/COUNT('Données brutes'!$CJ$2:$CJ$46),"")</f>
        <v>0.355555555555556</v>
      </c>
      <c r="V45" s="2" t="n">
        <f aca="false">45-COUNT('Données brutes'!$CJ$2:$CJ$46)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8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</row>
    <row r="2" customFormat="false" ht="15" hidden="false" customHeight="false" outlineLevel="0" collapsed="false">
      <c r="A2" s="2" t="s">
        <v>5</v>
      </c>
      <c r="B2" s="3" t="s">
        <v>329</v>
      </c>
      <c r="C2" s="2" t="s">
        <v>102</v>
      </c>
      <c r="D2" s="2" t="n">
        <f aca="false">COUNTIF('Données brutes'!$F$2:$F$46,"Public")</f>
        <v>19</v>
      </c>
      <c r="E2" s="5" t="n">
        <f aca="false">IFERROR(COUNTIF('Données brutes'!$F$2:$F$46,"Public")/COUNTA('Données brutes'!$F$2:$F$46),"")</f>
        <v>0.431818181818182</v>
      </c>
    </row>
    <row r="3" customFormat="false" ht="15" hidden="false" customHeight="false" outlineLevel="0" collapsed="false">
      <c r="A3" s="2" t="s">
        <v>5</v>
      </c>
      <c r="B3" s="3" t="s">
        <v>329</v>
      </c>
      <c r="C3" s="2" t="s">
        <v>179</v>
      </c>
      <c r="D3" s="2" t="n">
        <f aca="false">COUNTIF('Données brutes'!$F$2:$F$46,"Privé")</f>
        <v>25</v>
      </c>
      <c r="E3" s="5" t="n">
        <f aca="false">IFERROR(COUNTIF('Données brutes'!$F$2:$F$46,"Privé")/COUNTA('Données brutes'!$F$2:$F$46),"")</f>
        <v>0.568181818181818</v>
      </c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2" t="s">
        <v>6</v>
      </c>
      <c r="B5" s="3" t="s">
        <v>332</v>
      </c>
      <c r="C5" s="2" t="s">
        <v>103</v>
      </c>
      <c r="D5" s="2" t="n">
        <f aca="false">COUNTIF('Données brutes'!$G$2:$G$46,"Masculin")</f>
        <v>25</v>
      </c>
      <c r="E5" s="5" t="n">
        <f aca="false">IFERROR(COUNTIF('Données brutes'!$G$2:$G$46,"Masculin")/COUNTA('Données brutes'!$G$2:$G$46),"")</f>
        <v>0.609756097560976</v>
      </c>
    </row>
    <row r="6" customFormat="false" ht="15" hidden="false" customHeight="false" outlineLevel="0" collapsed="false">
      <c r="A6" s="2" t="s">
        <v>6</v>
      </c>
      <c r="B6" s="3" t="s">
        <v>332</v>
      </c>
      <c r="C6" s="2" t="s">
        <v>180</v>
      </c>
      <c r="D6" s="2" t="n">
        <f aca="false">COUNTIF('Données brutes'!$G$2:$G$46,"Féminin")</f>
        <v>16</v>
      </c>
      <c r="E6" s="5" t="n">
        <f aca="false">IFERROR(COUNTIF('Données brutes'!$G$2:$G$46,"Féminin")/COUNTA('Données brutes'!$G$2:$G$46),"")</f>
        <v>0.390243902439024</v>
      </c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 t="s">
        <v>7</v>
      </c>
      <c r="B8" s="3" t="s">
        <v>334</v>
      </c>
      <c r="C8" s="2" t="s">
        <v>104</v>
      </c>
      <c r="D8" s="2" t="n">
        <f aca="false">COUNTIF('Données brutes'!$H$2:$H$46,"moins de 30 ans")</f>
        <v>11</v>
      </c>
      <c r="E8" s="5" t="n">
        <f aca="false">IFERROR(COUNTIF('Données brutes'!$H$2:$H$46,"moins de 30 ans")/COUNTA('Données brutes'!$H$2:$H$46),"")</f>
        <v>0.25</v>
      </c>
    </row>
    <row r="9" customFormat="false" ht="15" hidden="false" customHeight="false" outlineLevel="0" collapsed="false">
      <c r="A9" s="2" t="s">
        <v>7</v>
      </c>
      <c r="B9" s="3" t="s">
        <v>334</v>
      </c>
      <c r="C9" s="2" t="s">
        <v>159</v>
      </c>
      <c r="D9" s="2" t="n">
        <f aca="false">COUNTIF('Données brutes'!$H$2:$H$46,"30-39 ans")</f>
        <v>10</v>
      </c>
      <c r="E9" s="5" t="n">
        <f aca="false">IFERROR(COUNTIF('Données brutes'!$H$2:$H$46,"30-39 ans")/COUNTA('Données brutes'!$H$2:$H$46),"")</f>
        <v>0.227272727272727</v>
      </c>
    </row>
    <row r="10" customFormat="false" ht="15" hidden="false" customHeight="false" outlineLevel="0" collapsed="false">
      <c r="A10" s="2" t="s">
        <v>7</v>
      </c>
      <c r="B10" s="3" t="s">
        <v>334</v>
      </c>
      <c r="C10" s="2" t="s">
        <v>181</v>
      </c>
      <c r="D10" s="2" t="n">
        <f aca="false">COUNTIF('Données brutes'!$H$2:$H$46,"40-49 ans")</f>
        <v>8</v>
      </c>
      <c r="E10" s="5" t="n">
        <f aca="false">IFERROR(COUNTIF('Données brutes'!$H$2:$H$46,"40-49 ans")/COUNTA('Données brutes'!$H$2:$H$46),"")</f>
        <v>0.181818181818182</v>
      </c>
    </row>
    <row r="11" customFormat="false" ht="15" hidden="false" customHeight="false" outlineLevel="0" collapsed="false">
      <c r="A11" s="2" t="s">
        <v>7</v>
      </c>
      <c r="B11" s="3" t="s">
        <v>334</v>
      </c>
      <c r="C11" s="2" t="s">
        <v>126</v>
      </c>
      <c r="D11" s="2" t="n">
        <f aca="false">COUNTIF('Données brutes'!$H$2:$H$46,"50 ans et plus")</f>
        <v>15</v>
      </c>
      <c r="E11" s="5" t="n">
        <f aca="false">IFERROR(COUNTIF('Données brutes'!$H$2:$H$46,"50 ans et plus")/COUNTA('Données brutes'!$H$2:$H$46),"")</f>
        <v>0.340909090909091</v>
      </c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 t="s">
        <v>8</v>
      </c>
      <c r="B13" s="3" t="s">
        <v>336</v>
      </c>
      <c r="C13" s="2" t="s">
        <v>145</v>
      </c>
      <c r="D13" s="2" t="n">
        <f aca="false">COUNTIF('Données brutes'!$I$2:$I$46,"moins de 5 ans")</f>
        <v>12</v>
      </c>
      <c r="E13" s="5" t="n">
        <f aca="false">IFERROR(COUNTIF('Données brutes'!$I$2:$I$46,"moins de 5 ans")/COUNTA('Données brutes'!$I$2:$I$46),"")</f>
        <v>0.27906976744186</v>
      </c>
    </row>
    <row r="14" customFormat="false" ht="15" hidden="false" customHeight="false" outlineLevel="0" collapsed="false">
      <c r="A14" s="2" t="s">
        <v>8</v>
      </c>
      <c r="B14" s="3" t="s">
        <v>336</v>
      </c>
      <c r="C14" s="2" t="s">
        <v>160</v>
      </c>
      <c r="D14" s="2" t="n">
        <f aca="false">COUNTIF('Données brutes'!$I$2:$I$46,"5-10 ans")</f>
        <v>7</v>
      </c>
      <c r="E14" s="5" t="n">
        <f aca="false">IFERROR(COUNTIF('Données brutes'!$I$2:$I$46,"5-10 ans")/COUNTA('Données brutes'!$I$2:$I$46),"")</f>
        <v>0.162790697674419</v>
      </c>
    </row>
    <row r="15" customFormat="false" ht="15" hidden="false" customHeight="false" outlineLevel="0" collapsed="false">
      <c r="A15" s="2" t="s">
        <v>8</v>
      </c>
      <c r="B15" s="3" t="s">
        <v>336</v>
      </c>
      <c r="C15" s="2" t="s">
        <v>105</v>
      </c>
      <c r="D15" s="2" t="n">
        <f aca="false">COUNTIF('Données brutes'!$I$2:$I$46,"11-20 ans")</f>
        <v>12</v>
      </c>
      <c r="E15" s="5" t="n">
        <f aca="false">IFERROR(COUNTIF('Données brutes'!$I$2:$I$46,"11-20 ans")/COUNTA('Données brutes'!$I$2:$I$46),"")</f>
        <v>0.27906976744186</v>
      </c>
    </row>
    <row r="16" customFormat="false" ht="15" hidden="false" customHeight="false" outlineLevel="0" collapsed="false">
      <c r="A16" s="2" t="s">
        <v>8</v>
      </c>
      <c r="B16" s="3" t="s">
        <v>336</v>
      </c>
      <c r="C16" s="2" t="s">
        <v>127</v>
      </c>
      <c r="D16" s="2" t="n">
        <f aca="false">COUNTIF('Données brutes'!$I$2:$I$46,"plus de 20 ans")</f>
        <v>12</v>
      </c>
      <c r="E16" s="5" t="n">
        <f aca="false">IFERROR(COUNTIF('Données brutes'!$I$2:$I$46,"plus de 20 ans")/COUNTA('Données brutes'!$I$2:$I$46),"")</f>
        <v>0.27906976744186</v>
      </c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2" t="s">
        <v>9</v>
      </c>
      <c r="B18" s="3" t="s">
        <v>338</v>
      </c>
      <c r="C18" s="2" t="s">
        <v>106</v>
      </c>
      <c r="D18" s="2" t="n">
        <f aca="false">COUNTIF('Données brutes'!$J$2:$J$46,"FE")</f>
        <v>11</v>
      </c>
      <c r="E18" s="5" t="n">
        <f aca="false">IFERROR(COUNTIF('Données brutes'!$J$2:$J$46,"FE")/COUNTA('Données brutes'!$J$2:$J$46),"")</f>
        <v>0.244444444444444</v>
      </c>
    </row>
    <row r="19" customFormat="false" ht="15" hidden="false" customHeight="false" outlineLevel="0" collapsed="false">
      <c r="A19" s="2" t="s">
        <v>9</v>
      </c>
      <c r="B19" s="3" t="s">
        <v>338</v>
      </c>
      <c r="C19" s="2" t="s">
        <v>146</v>
      </c>
      <c r="D19" s="2" t="n">
        <f aca="false">COUNTIF('Données brutes'!$J$2:$J$46,"ACDPE")</f>
        <v>12</v>
      </c>
      <c r="E19" s="5" t="n">
        <f aca="false">IFERROR(COUNTIF('Données brutes'!$J$2:$J$46,"ACDPE")/COUNTA('Données brutes'!$J$2:$J$46),"")</f>
        <v>0.266666666666667</v>
      </c>
    </row>
    <row r="20" customFormat="false" ht="15" hidden="false" customHeight="false" outlineLevel="0" collapsed="false">
      <c r="A20" s="2" t="s">
        <v>9</v>
      </c>
      <c r="B20" s="3" t="s">
        <v>338</v>
      </c>
      <c r="C20" s="2" t="s">
        <v>128</v>
      </c>
      <c r="D20" s="2" t="n">
        <f aca="false">COUNTIF('Données brutes'!$J$2:$J$46,"AME")</f>
        <v>22</v>
      </c>
      <c r="E20" s="5" t="n">
        <f aca="false">IFERROR(COUNTIF('Données brutes'!$J$2:$J$46,"AME")/COUNTA('Données brutes'!$J$2:$J$46),"")</f>
        <v>0.488888888888889</v>
      </c>
    </row>
    <row r="21" customFormat="false" ht="15" hidden="false" customHeight="false" outlineLevel="0" collapsed="false">
      <c r="A21" s="2" t="s">
        <v>9</v>
      </c>
      <c r="B21" s="3" t="s">
        <v>338</v>
      </c>
      <c r="C21" s="2" t="s">
        <v>167</v>
      </c>
      <c r="D21" s="2" t="n">
        <f aca="false">COUNTIF('Données brutes'!$J$2:$J$46,"Autre")</f>
        <v>0</v>
      </c>
      <c r="E21" s="5" t="n">
        <f aca="false">IFERROR(COUNTIF('Données brutes'!$J$2:$J$46,"Autre")/COUNTA('Données brutes'!$J$2:$J$46),"")</f>
        <v>0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2" t="s">
        <v>11</v>
      </c>
      <c r="B23" s="3" t="s">
        <v>341</v>
      </c>
      <c r="C23" s="2" t="s">
        <v>129</v>
      </c>
      <c r="D23" s="2" t="n">
        <f aca="false">COUNTIF('Données brutes'!$L$2:$L$46,"CAPES")</f>
        <v>13</v>
      </c>
      <c r="E23" s="5" t="n">
        <f aca="false">IFERROR(COUNTIF('Données brutes'!$L$2:$L$46,"CAPES")/COUNTA('Données brutes'!$L$2:$L$46),"")</f>
        <v>0.317073170731707</v>
      </c>
    </row>
    <row r="24" customFormat="false" ht="15" hidden="false" customHeight="false" outlineLevel="0" collapsed="false">
      <c r="A24" s="2" t="s">
        <v>11</v>
      </c>
      <c r="B24" s="3" t="s">
        <v>341</v>
      </c>
      <c r="C24" s="2" t="s">
        <v>182</v>
      </c>
      <c r="D24" s="2" t="n">
        <f aca="false">COUNTIF('Données brutes'!$L$2:$L$46,"BAPES")</f>
        <v>10</v>
      </c>
      <c r="E24" s="5" t="n">
        <f aca="false">IFERROR(COUNTIF('Données brutes'!$L$2:$L$46,"BAPES")/COUNTA('Données brutes'!$L$2:$L$46),"")</f>
        <v>0.24390243902439</v>
      </c>
    </row>
    <row r="25" customFormat="false" ht="15" hidden="false" customHeight="false" outlineLevel="0" collapsed="false">
      <c r="A25" s="2" t="s">
        <v>11</v>
      </c>
      <c r="B25" s="3" t="s">
        <v>341</v>
      </c>
      <c r="C25" s="2" t="s">
        <v>172</v>
      </c>
      <c r="D25" s="2" t="n">
        <f aca="false">COUNTIF('Données brutes'!$L$2:$L$46,"Licence Pro")</f>
        <v>11</v>
      </c>
      <c r="E25" s="5" t="n">
        <f aca="false">IFERROR(COUNTIF('Données brutes'!$L$2:$L$46,"Licence Pro")/COUNTA('Données brutes'!$L$2:$L$46),"")</f>
        <v>0.268292682926829</v>
      </c>
    </row>
    <row r="26" customFormat="false" ht="15" hidden="false" customHeight="false" outlineLevel="0" collapsed="false">
      <c r="A26" s="2" t="s">
        <v>11</v>
      </c>
      <c r="B26" s="3" t="s">
        <v>341</v>
      </c>
      <c r="C26" s="2" t="s">
        <v>147</v>
      </c>
      <c r="D26" s="2" t="n">
        <f aca="false">COUNTIF('Données brutes'!$L$2:$L$46,"Master Pro")</f>
        <v>7</v>
      </c>
      <c r="E26" s="5" t="n">
        <f aca="false">IFERROR(COUNTIF('Données brutes'!$L$2:$L$46,"Master Pro")/COUNTA('Données brutes'!$L$2:$L$46),"")</f>
        <v>0.170731707317073</v>
      </c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 t="s">
        <v>12</v>
      </c>
      <c r="B28" s="3" t="s">
        <v>343</v>
      </c>
      <c r="C28" s="2" t="s">
        <v>221</v>
      </c>
      <c r="D28" s="2" t="n">
        <f aca="false">COUNTIF('Données brutes'!$M$2:$M$46,"BAC")</f>
        <v>8</v>
      </c>
      <c r="E28" s="5" t="n">
        <f aca="false">IFERROR(COUNTIF('Données brutes'!$M$2:$M$46,"BAC")/COUNTA('Données brutes'!$M$2:$M$46),"")</f>
        <v>0.19047619047619</v>
      </c>
    </row>
    <row r="29" customFormat="false" ht="15" hidden="false" customHeight="false" outlineLevel="0" collapsed="false">
      <c r="A29" s="2" t="s">
        <v>12</v>
      </c>
      <c r="B29" s="3" t="s">
        <v>343</v>
      </c>
      <c r="C29" s="2" t="s">
        <v>130</v>
      </c>
      <c r="D29" s="2" t="n">
        <f aca="false">COUNTIF('Données brutes'!$M$2:$M$46,"Licence")</f>
        <v>13</v>
      </c>
      <c r="E29" s="5" t="n">
        <f aca="false">IFERROR(COUNTIF('Données brutes'!$M$2:$M$46,"Licence")/COUNTA('Données brutes'!$M$2:$M$46),"")</f>
        <v>0.30952380952381</v>
      </c>
    </row>
    <row r="30" customFormat="false" ht="15" hidden="false" customHeight="false" outlineLevel="0" collapsed="false">
      <c r="A30" s="2" t="s">
        <v>12</v>
      </c>
      <c r="B30" s="3" t="s">
        <v>343</v>
      </c>
      <c r="C30" s="2" t="s">
        <v>107</v>
      </c>
      <c r="D30" s="2" t="n">
        <f aca="false">COUNTIF('Données brutes'!$M$2:$M$46,"Maîtrise")</f>
        <v>11</v>
      </c>
      <c r="E30" s="5" t="n">
        <f aca="false">IFERROR(COUNTIF('Données brutes'!$M$2:$M$46,"Maîtrise")/COUNTA('Données brutes'!$M$2:$M$46),"")</f>
        <v>0.261904761904762</v>
      </c>
    </row>
    <row r="31" customFormat="false" ht="15" hidden="false" customHeight="false" outlineLevel="0" collapsed="false">
      <c r="A31" s="2" t="s">
        <v>12</v>
      </c>
      <c r="B31" s="3" t="s">
        <v>343</v>
      </c>
      <c r="C31" s="2" t="s">
        <v>161</v>
      </c>
      <c r="D31" s="2" t="n">
        <f aca="false">COUNTIF('Données brutes'!$M$2:$M$46,"Master")</f>
        <v>10</v>
      </c>
      <c r="E31" s="5" t="n">
        <f aca="false">IFERROR(COUNTIF('Données brutes'!$M$2:$M$46,"Master")/COUNTA('Données brutes'!$M$2:$M$46),"")</f>
        <v>0.238095238095238</v>
      </c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2" t="s">
        <v>13</v>
      </c>
      <c r="B33" s="3" t="s">
        <v>345</v>
      </c>
      <c r="C33" s="2" t="s">
        <v>209</v>
      </c>
      <c r="D33" s="2" t="n">
        <f aca="false">COUNTIF('Données brutes'!$N$2:$N$46,"Lettres")</f>
        <v>11</v>
      </c>
      <c r="E33" s="5" t="n">
        <f aca="false">IFERROR(COUNTIF('Données brutes'!$N$2:$N$46,"Lettres")/COUNTA('Données brutes'!$N$2:$N$46),"")</f>
        <v>0.244444444444444</v>
      </c>
    </row>
    <row r="34" customFormat="false" ht="15" hidden="false" customHeight="false" outlineLevel="0" collapsed="false">
      <c r="A34" s="2" t="s">
        <v>13</v>
      </c>
      <c r="B34" s="3" t="s">
        <v>345</v>
      </c>
      <c r="C34" s="2" t="s">
        <v>108</v>
      </c>
      <c r="D34" s="2" t="n">
        <f aca="false">COUNTIF('Données brutes'!$N$2:$N$46,"Sciences et Technologies")</f>
        <v>17</v>
      </c>
      <c r="E34" s="5" t="n">
        <f aca="false">IFERROR(COUNTIF('Données brutes'!$N$2:$N$46,"Sciences et Technologies")/COUNTA('Données brutes'!$N$2:$N$46),"")</f>
        <v>0.377777777777778</v>
      </c>
    </row>
    <row r="35" customFormat="false" ht="15" hidden="false" customHeight="false" outlineLevel="0" collapsed="false">
      <c r="A35" s="2" t="s">
        <v>13</v>
      </c>
      <c r="B35" s="3" t="s">
        <v>345</v>
      </c>
      <c r="C35" s="2" t="s">
        <v>183</v>
      </c>
      <c r="D35" s="2" t="n">
        <f aca="false">COUNTIF('Données brutes'!$N$2:$N$46,"Sciences Humaines")</f>
        <v>8</v>
      </c>
      <c r="E35" s="5" t="n">
        <f aca="false">IFERROR(COUNTIF('Données brutes'!$N$2:$N$46,"Sciences Humaines")/COUNTA('Données brutes'!$N$2:$N$46),"")</f>
        <v>0.177777777777778</v>
      </c>
    </row>
    <row r="36" customFormat="false" ht="15" hidden="false" customHeight="false" outlineLevel="0" collapsed="false">
      <c r="A36" s="2" t="s">
        <v>13</v>
      </c>
      <c r="B36" s="3" t="s">
        <v>345</v>
      </c>
      <c r="C36" s="2" t="s">
        <v>167</v>
      </c>
      <c r="D36" s="2" t="n">
        <f aca="false">COUNTIF('Données brutes'!$N$2:$N$46,"Autre")</f>
        <v>9</v>
      </c>
      <c r="E36" s="5" t="n">
        <f aca="false">IFERROR(COUNTIF('Données brutes'!$N$2:$N$46,"Autre")/COUNTA('Données brutes'!$N$2:$N$46),"")</f>
        <v>0.2</v>
      </c>
    </row>
    <row r="37" customFormat="false" ht="15" hidden="false" customHeight="false" outlineLevel="0" collapsed="false">
      <c r="A37" s="2"/>
      <c r="B37" s="2"/>
      <c r="C37" s="2"/>
      <c r="D37" s="2"/>
      <c r="E37" s="2"/>
    </row>
    <row r="38" customFormat="false" ht="23.85" hidden="false" customHeight="false" outlineLevel="0" collapsed="false">
      <c r="A38" s="2" t="s">
        <v>15</v>
      </c>
      <c r="B38" s="3" t="s">
        <v>348</v>
      </c>
      <c r="C38" s="2" t="s">
        <v>149</v>
      </c>
      <c r="D38" s="2" t="n">
        <f aca="false">COUNTIF('Données brutes'!$P$2:$P$46,"Oui")</f>
        <v>18</v>
      </c>
      <c r="E38" s="5" t="n">
        <f aca="false">IFERROR(COUNTIF('Données brutes'!$P$2:$P$46,"Oui")/COUNTA('Données brutes'!$P$2:$P$46),"")</f>
        <v>0.409090909090909</v>
      </c>
    </row>
    <row r="39" customFormat="false" ht="23.85" hidden="false" customHeight="false" outlineLevel="0" collapsed="false">
      <c r="A39" s="2" t="s">
        <v>15</v>
      </c>
      <c r="B39" s="3" t="s">
        <v>348</v>
      </c>
      <c r="C39" s="2" t="s">
        <v>109</v>
      </c>
      <c r="D39" s="2" t="n">
        <f aca="false">COUNTIF('Données brutes'!$P$2:$P$46,"Non")</f>
        <v>26</v>
      </c>
      <c r="E39" s="5" t="n">
        <f aca="false">IFERROR(COUNTIF('Données brutes'!$P$2:$P$46,"Non")/COUNTA('Données brutes'!$P$2:$P$46),"")</f>
        <v>0.590909090909091</v>
      </c>
    </row>
    <row r="40" customFormat="false" ht="15" hidden="false" customHeight="false" outlineLevel="0" collapsed="false">
      <c r="A40" s="2"/>
      <c r="B40" s="2"/>
      <c r="C40" s="2"/>
      <c r="D40" s="2"/>
      <c r="E40" s="2"/>
    </row>
    <row r="41" customFormat="false" ht="15" hidden="false" customHeight="false" outlineLevel="0" collapsed="false">
      <c r="A41" s="2" t="s">
        <v>16</v>
      </c>
      <c r="B41" s="3" t="s">
        <v>350</v>
      </c>
      <c r="C41" s="2" t="s">
        <v>110</v>
      </c>
      <c r="D41" s="2" t="n">
        <f aca="false">COUNTIF('Données brutes'!$Q$2:$Q$46,"1 à 2 jours")</f>
        <v>9</v>
      </c>
      <c r="E41" s="5" t="n">
        <f aca="false">IFERROR(COUNTIF('Données brutes'!$Q$2:$Q$46,"1 à 2 jours")/COUNTA('Données brutes'!$Q$2:$Q$46),"")</f>
        <v>0.219512195121951</v>
      </c>
    </row>
    <row r="42" customFormat="false" ht="15" hidden="false" customHeight="false" outlineLevel="0" collapsed="false">
      <c r="A42" s="2" t="s">
        <v>16</v>
      </c>
      <c r="B42" s="3" t="s">
        <v>350</v>
      </c>
      <c r="C42" s="2" t="s">
        <v>148</v>
      </c>
      <c r="D42" s="2" t="n">
        <f aca="false">COUNTIF('Données brutes'!$Q$2:$Q$46,"3 à 5 jours")</f>
        <v>14</v>
      </c>
      <c r="E42" s="5" t="n">
        <f aca="false">IFERROR(COUNTIF('Données brutes'!$Q$2:$Q$46,"3 à 5 jours")/COUNTA('Données brutes'!$Q$2:$Q$46),"")</f>
        <v>0.341463414634146</v>
      </c>
    </row>
    <row r="43" customFormat="false" ht="15" hidden="false" customHeight="false" outlineLevel="0" collapsed="false">
      <c r="A43" s="2" t="s">
        <v>16</v>
      </c>
      <c r="B43" s="3" t="s">
        <v>350</v>
      </c>
      <c r="C43" s="2" t="s">
        <v>131</v>
      </c>
      <c r="D43" s="2" t="n">
        <f aca="false">COUNTIF('Données brutes'!$Q$2:$Q$46,"6 à 10 jours")</f>
        <v>10</v>
      </c>
      <c r="E43" s="5" t="n">
        <f aca="false">IFERROR(COUNTIF('Données brutes'!$Q$2:$Q$46,"6 à 10 jours")/COUNTA('Données brutes'!$Q$2:$Q$46),"")</f>
        <v>0.24390243902439</v>
      </c>
    </row>
    <row r="44" customFormat="false" ht="15" hidden="false" customHeight="false" outlineLevel="0" collapsed="false">
      <c r="A44" s="2" t="s">
        <v>16</v>
      </c>
      <c r="B44" s="3" t="s">
        <v>350</v>
      </c>
      <c r="C44" s="2" t="s">
        <v>184</v>
      </c>
      <c r="D44" s="2" t="n">
        <f aca="false">COUNTIF('Données brutes'!$Q$2:$Q$46,"Plus de 10 jours")</f>
        <v>8</v>
      </c>
      <c r="E44" s="5" t="n">
        <f aca="false">IFERROR(COUNTIF('Données brutes'!$Q$2:$Q$46,"Plus de 10 jours")/COUNTA('Données brutes'!$Q$2:$Q$46),"")</f>
        <v>0.195121951219512</v>
      </c>
    </row>
    <row r="45" customFormat="false" ht="15" hidden="false" customHeight="false" outlineLevel="0" collapsed="false">
      <c r="A45" s="2"/>
      <c r="B45" s="2"/>
      <c r="C45" s="2"/>
      <c r="D45" s="2"/>
      <c r="E45" s="2"/>
    </row>
    <row r="46" customFormat="false" ht="23.85" hidden="false" customHeight="false" outlineLevel="0" collapsed="false">
      <c r="A46" s="2" t="s">
        <v>17</v>
      </c>
      <c r="B46" s="3" t="s">
        <v>352</v>
      </c>
      <c r="C46" s="2" t="s">
        <v>149</v>
      </c>
      <c r="D46" s="2" t="n">
        <f aca="false">COUNTIF('Données brutes'!$R$2:$R$46,"Oui")</f>
        <v>22</v>
      </c>
      <c r="E46" s="5" t="n">
        <f aca="false">IFERROR(COUNTIF('Données brutes'!$R$2:$R$46,"Oui")/COUNTA('Données brutes'!$R$2:$R$46),"")</f>
        <v>0.488888888888889</v>
      </c>
    </row>
    <row r="47" customFormat="false" ht="23.85" hidden="false" customHeight="false" outlineLevel="0" collapsed="false">
      <c r="A47" s="2" t="s">
        <v>17</v>
      </c>
      <c r="B47" s="3" t="s">
        <v>352</v>
      </c>
      <c r="C47" s="2" t="s">
        <v>109</v>
      </c>
      <c r="D47" s="2" t="n">
        <f aca="false">COUNTIF('Données brutes'!$R$2:$R$46,"Non")</f>
        <v>23</v>
      </c>
      <c r="E47" s="5" t="n">
        <f aca="false">IFERROR(COUNTIF('Données brutes'!$R$2:$R$46,"Non")/COUNTA('Données brutes'!$R$2:$R$46),"")</f>
        <v>0.511111111111111</v>
      </c>
    </row>
    <row r="48" customFormat="false" ht="15" hidden="false" customHeight="false" outlineLevel="0" collapsed="false">
      <c r="A48" s="2"/>
      <c r="B48" s="2"/>
      <c r="C48" s="2"/>
      <c r="D48" s="2"/>
      <c r="E48" s="2"/>
    </row>
    <row r="49" customFormat="false" ht="15" hidden="false" customHeight="false" outlineLevel="0" collapsed="false">
      <c r="A49" s="2" t="s">
        <v>18</v>
      </c>
      <c r="B49" s="3" t="s">
        <v>353</v>
      </c>
      <c r="C49" s="2" t="s">
        <v>185</v>
      </c>
      <c r="D49" s="2" t="n">
        <f aca="false">COUNTIF('Données brutes'!$S$2:$S$46,"1")</f>
        <v>9</v>
      </c>
      <c r="E49" s="5" t="n">
        <f aca="false">IFERROR(COUNTIF('Données brutes'!$S$2:$S$46,"1")/COUNTA('Données brutes'!$S$2:$S$46),"")</f>
        <v>0.209302325581395</v>
      </c>
    </row>
    <row r="50" customFormat="false" ht="15" hidden="false" customHeight="false" outlineLevel="0" collapsed="false">
      <c r="A50" s="2" t="s">
        <v>18</v>
      </c>
      <c r="B50" s="3" t="s">
        <v>353</v>
      </c>
      <c r="C50" s="2" t="s">
        <v>132</v>
      </c>
      <c r="D50" s="2" t="n">
        <f aca="false">COUNTIF('Données brutes'!$S$2:$S$46,"2")</f>
        <v>9</v>
      </c>
      <c r="E50" s="5" t="n">
        <f aca="false">IFERROR(COUNTIF('Données brutes'!$S$2:$S$46,"2")/COUNTA('Données brutes'!$S$2:$S$46),"")</f>
        <v>0.209302325581395</v>
      </c>
    </row>
    <row r="51" customFormat="false" ht="15" hidden="false" customHeight="false" outlineLevel="0" collapsed="false">
      <c r="A51" s="2" t="s">
        <v>18</v>
      </c>
      <c r="B51" s="3" t="s">
        <v>353</v>
      </c>
      <c r="C51" s="2" t="s">
        <v>111</v>
      </c>
      <c r="D51" s="2" t="n">
        <f aca="false">COUNTIF('Données brutes'!$S$2:$S$46,"3")</f>
        <v>9</v>
      </c>
      <c r="E51" s="5" t="n">
        <f aca="false">IFERROR(COUNTIF('Données brutes'!$S$2:$S$46,"3")/COUNTA('Données brutes'!$S$2:$S$46),"")</f>
        <v>0.209302325581395</v>
      </c>
    </row>
    <row r="52" customFormat="false" ht="15" hidden="false" customHeight="false" outlineLevel="0" collapsed="false">
      <c r="A52" s="2" t="s">
        <v>18</v>
      </c>
      <c r="B52" s="3" t="s">
        <v>353</v>
      </c>
      <c r="C52" s="2" t="s">
        <v>282</v>
      </c>
      <c r="D52" s="2" t="n">
        <f aca="false">COUNTIF('Données brutes'!$S$2:$S$46,"4")</f>
        <v>8</v>
      </c>
      <c r="E52" s="5" t="n">
        <f aca="false">IFERROR(COUNTIF('Données brutes'!$S$2:$S$46,"4")/COUNTA('Données brutes'!$S$2:$S$46),"")</f>
        <v>0.186046511627907</v>
      </c>
    </row>
    <row r="53" customFormat="false" ht="15" hidden="false" customHeight="false" outlineLevel="0" collapsed="false">
      <c r="A53" s="2" t="s">
        <v>18</v>
      </c>
      <c r="B53" s="3" t="s">
        <v>353</v>
      </c>
      <c r="C53" s="2" t="s">
        <v>162</v>
      </c>
      <c r="D53" s="2" t="n">
        <f aca="false">COUNTIF('Données brutes'!$S$2:$S$46,"5")</f>
        <v>5</v>
      </c>
      <c r="E53" s="5" t="n">
        <f aca="false">IFERROR(COUNTIF('Données brutes'!$S$2:$S$46,"5")/COUNTA('Données brutes'!$S$2:$S$46),"")</f>
        <v>0.116279069767442</v>
      </c>
    </row>
    <row r="54" customFormat="false" ht="15" hidden="false" customHeight="false" outlineLevel="0" collapsed="false">
      <c r="A54" s="2" t="s">
        <v>18</v>
      </c>
      <c r="B54" s="3" t="s">
        <v>353</v>
      </c>
      <c r="C54" s="2" t="s">
        <v>232</v>
      </c>
      <c r="D54" s="2" t="n">
        <f aca="false">COUNTIF('Données brutes'!$S$2:$S$46,"Sans objet")</f>
        <v>3</v>
      </c>
      <c r="E54" s="5" t="n">
        <f aca="false">IFERROR(COUNTIF('Données brutes'!$S$2:$S$46,"Sans objet")/COUNTA('Données brutes'!$S$2:$S$46),"")</f>
        <v>0.0697674418604651</v>
      </c>
    </row>
    <row r="55" customFormat="false" ht="15" hidden="false" customHeight="false" outlineLevel="0" collapsed="false">
      <c r="A55" s="2"/>
      <c r="B55" s="2"/>
      <c r="C55" s="2"/>
      <c r="D55" s="2"/>
      <c r="E55" s="2"/>
    </row>
    <row r="56" customFormat="false" ht="23.85" hidden="false" customHeight="false" outlineLevel="0" collapsed="false">
      <c r="A56" s="2" t="s">
        <v>23</v>
      </c>
      <c r="B56" s="3" t="s">
        <v>355</v>
      </c>
      <c r="C56" s="2" t="s">
        <v>255</v>
      </c>
      <c r="D56" s="2" t="n">
        <f aca="false">SUM('Données brutes'!$T$2:$T$46)</f>
        <v>21</v>
      </c>
      <c r="E56" s="5" t="n">
        <f aca="false">IFERROR(SUM('Données brutes'!$T$2:$T$46)/45,"")</f>
        <v>0.466666666666667</v>
      </c>
    </row>
    <row r="57" customFormat="false" ht="23.85" hidden="false" customHeight="false" outlineLevel="0" collapsed="false">
      <c r="A57" s="2" t="s">
        <v>23</v>
      </c>
      <c r="B57" s="3" t="s">
        <v>355</v>
      </c>
      <c r="C57" s="2" t="s">
        <v>194</v>
      </c>
      <c r="D57" s="2" t="n">
        <f aca="false">SUM('Données brutes'!$U$2:$U$46)</f>
        <v>20</v>
      </c>
      <c r="E57" s="5" t="n">
        <f aca="false">IFERROR(SUM('Données brutes'!$U$2:$U$46)/45,"")</f>
        <v>0.444444444444444</v>
      </c>
    </row>
    <row r="58" customFormat="false" ht="23.85" hidden="false" customHeight="false" outlineLevel="0" collapsed="false">
      <c r="A58" s="2" t="s">
        <v>23</v>
      </c>
      <c r="B58" s="3" t="s">
        <v>355</v>
      </c>
      <c r="C58" s="2" t="s">
        <v>201</v>
      </c>
      <c r="D58" s="2" t="n">
        <f aca="false">SUM('Données brutes'!$V$2:$V$46)</f>
        <v>14</v>
      </c>
      <c r="E58" s="5" t="n">
        <f aca="false">IFERROR(SUM('Données brutes'!$V$2:$V$46)/45,"")</f>
        <v>0.311111111111111</v>
      </c>
    </row>
    <row r="59" customFormat="false" ht="23.85" hidden="false" customHeight="false" outlineLevel="0" collapsed="false">
      <c r="A59" s="2" t="s">
        <v>23</v>
      </c>
      <c r="B59" s="3" t="s">
        <v>355</v>
      </c>
      <c r="C59" s="2" t="s">
        <v>268</v>
      </c>
      <c r="D59" s="2" t="n">
        <f aca="false">SUM('Données brutes'!$W$2:$W$46)</f>
        <v>18</v>
      </c>
      <c r="E59" s="5" t="n">
        <f aca="false">IFERROR(SUM('Données brutes'!$W$2:$W$46)/45,"")</f>
        <v>0.4</v>
      </c>
    </row>
    <row r="60" customFormat="false" ht="15" hidden="false" customHeight="false" outlineLevel="0" collapsed="false">
      <c r="A60" s="2"/>
      <c r="B60" s="2"/>
      <c r="C60" s="2"/>
      <c r="D60" s="2"/>
      <c r="E60" s="2"/>
    </row>
    <row r="61" customFormat="false" ht="15" hidden="false" customHeight="false" outlineLevel="0" collapsed="false">
      <c r="A61" s="2" t="s">
        <v>39</v>
      </c>
      <c r="B61" s="3" t="s">
        <v>371</v>
      </c>
      <c r="C61" s="2" t="s">
        <v>151</v>
      </c>
      <c r="D61" s="2" t="n">
        <f aca="false">SUM('Données brutes'!$AH$2:$AH$46)</f>
        <v>10</v>
      </c>
      <c r="E61" s="5" t="n">
        <f aca="false">IFERROR(SUM('Données brutes'!$AH$2:$AH$46)/45,"")</f>
        <v>0.222222222222222</v>
      </c>
    </row>
    <row r="62" customFormat="false" ht="15" hidden="false" customHeight="false" outlineLevel="0" collapsed="false">
      <c r="A62" s="2" t="s">
        <v>39</v>
      </c>
      <c r="B62" s="3" t="s">
        <v>371</v>
      </c>
      <c r="C62" s="2" t="s">
        <v>312</v>
      </c>
      <c r="D62" s="2" t="n">
        <f aca="false">SUM('Données brutes'!$AI$2:$AI$46)</f>
        <v>7</v>
      </c>
      <c r="E62" s="5" t="n">
        <f aca="false">IFERROR(SUM('Données brutes'!$AI$2:$AI$46)/45,"")</f>
        <v>0.155555555555556</v>
      </c>
    </row>
    <row r="63" customFormat="false" ht="15" hidden="false" customHeight="false" outlineLevel="0" collapsed="false">
      <c r="A63" s="2" t="s">
        <v>39</v>
      </c>
      <c r="B63" s="3" t="s">
        <v>371</v>
      </c>
      <c r="C63" s="2" t="s">
        <v>113</v>
      </c>
      <c r="D63" s="2" t="n">
        <f aca="false">SUM('Données brutes'!$AJ$2:$AJ$46)</f>
        <v>12</v>
      </c>
      <c r="E63" s="5" t="n">
        <f aca="false">IFERROR(SUM('Données brutes'!$AJ$2:$AJ$46)/45,"")</f>
        <v>0.266666666666667</v>
      </c>
    </row>
    <row r="64" customFormat="false" ht="15" hidden="false" customHeight="false" outlineLevel="0" collapsed="false">
      <c r="A64" s="2" t="s">
        <v>39</v>
      </c>
      <c r="B64" s="3" t="s">
        <v>371</v>
      </c>
      <c r="C64" s="2" t="s">
        <v>202</v>
      </c>
      <c r="D64" s="2" t="n">
        <f aca="false">SUM('Données brutes'!$AK$2:$AK$46)</f>
        <v>17</v>
      </c>
      <c r="E64" s="5" t="n">
        <f aca="false">IFERROR(SUM('Données brutes'!$AK$2:$AK$46)/45,"")</f>
        <v>0.377777777777778</v>
      </c>
    </row>
    <row r="65" customFormat="false" ht="15" hidden="false" customHeight="false" outlineLevel="0" collapsed="false">
      <c r="A65" s="2" t="s">
        <v>39</v>
      </c>
      <c r="B65" s="3" t="s">
        <v>371</v>
      </c>
      <c r="C65" s="2" t="s">
        <v>276</v>
      </c>
      <c r="D65" s="2" t="n">
        <f aca="false">SUM('Données brutes'!$AL$2:$AL$46)</f>
        <v>10</v>
      </c>
      <c r="E65" s="5" t="n">
        <f aca="false">IFERROR(SUM('Données brutes'!$AL$2:$AL$46)/45,"")</f>
        <v>0.222222222222222</v>
      </c>
    </row>
    <row r="66" customFormat="false" ht="15" hidden="false" customHeight="false" outlineLevel="0" collapsed="false">
      <c r="A66" s="2" t="s">
        <v>39</v>
      </c>
      <c r="B66" s="3" t="s">
        <v>371</v>
      </c>
      <c r="C66" s="2" t="s">
        <v>167</v>
      </c>
      <c r="D66" s="2" t="n">
        <f aca="false">SUM('Données brutes'!$AM$2:$AM$46)</f>
        <v>12</v>
      </c>
      <c r="E66" s="5" t="n">
        <f aca="false">IFERROR(SUM('Données brutes'!$AM$2:$AM$46)/45,"")</f>
        <v>0.266666666666667</v>
      </c>
    </row>
    <row r="67" customFormat="false" ht="15" hidden="false" customHeight="false" outlineLevel="0" collapsed="false">
      <c r="A67" s="2"/>
      <c r="B67" s="2"/>
      <c r="C67" s="2"/>
      <c r="D67" s="2"/>
      <c r="E67" s="2"/>
    </row>
    <row r="68" customFormat="false" ht="23.85" hidden="false" customHeight="false" outlineLevel="0" collapsed="false">
      <c r="A68" s="2" t="s">
        <v>52</v>
      </c>
      <c r="B68" s="3" t="s">
        <v>381</v>
      </c>
      <c r="C68" s="2" t="s">
        <v>257</v>
      </c>
      <c r="D68" s="2" t="n">
        <f aca="false">SUM('Données brutes'!$AV$2:$AV$46)</f>
        <v>12</v>
      </c>
      <c r="E68" s="5" t="n">
        <f aca="false">IFERROR(SUM('Données brutes'!$AV$2:$AV$46)/45,"")</f>
        <v>0.266666666666667</v>
      </c>
    </row>
    <row r="69" customFormat="false" ht="23.85" hidden="false" customHeight="false" outlineLevel="0" collapsed="false">
      <c r="A69" s="2" t="s">
        <v>52</v>
      </c>
      <c r="B69" s="3" t="s">
        <v>381</v>
      </c>
      <c r="C69" s="2" t="s">
        <v>175</v>
      </c>
      <c r="D69" s="2" t="n">
        <f aca="false">SUM('Données brutes'!$AW$2:$AW$46)</f>
        <v>12</v>
      </c>
      <c r="E69" s="5" t="n">
        <f aca="false">IFERROR(SUM('Données brutes'!$AW$2:$AW$46)/45,"")</f>
        <v>0.266666666666667</v>
      </c>
    </row>
    <row r="70" customFormat="false" ht="23.85" hidden="false" customHeight="false" outlineLevel="0" collapsed="false">
      <c r="A70" s="2" t="s">
        <v>52</v>
      </c>
      <c r="B70" s="3" t="s">
        <v>381</v>
      </c>
      <c r="C70" s="2" t="s">
        <v>212</v>
      </c>
      <c r="D70" s="2" t="n">
        <f aca="false">SUM('Données brutes'!$AX$2:$AX$46)</f>
        <v>12</v>
      </c>
      <c r="E70" s="5" t="n">
        <f aca="false">IFERROR(SUM('Données brutes'!$AX$2:$AX$46)/45,"")</f>
        <v>0.266666666666667</v>
      </c>
    </row>
    <row r="71" customFormat="false" ht="23.85" hidden="false" customHeight="false" outlineLevel="0" collapsed="false">
      <c r="A71" s="2" t="s">
        <v>52</v>
      </c>
      <c r="B71" s="3" t="s">
        <v>381</v>
      </c>
      <c r="C71" s="2" t="s">
        <v>114</v>
      </c>
      <c r="D71" s="2" t="n">
        <f aca="false">SUM('Données brutes'!$AY$2:$AY$46)</f>
        <v>18</v>
      </c>
      <c r="E71" s="5" t="n">
        <f aca="false">IFERROR(SUM('Données brutes'!$AY$2:$AY$46)/45,"")</f>
        <v>0.4</v>
      </c>
    </row>
    <row r="72" customFormat="false" ht="23.85" hidden="false" customHeight="false" outlineLevel="0" collapsed="false">
      <c r="A72" s="2" t="s">
        <v>52</v>
      </c>
      <c r="B72" s="3" t="s">
        <v>381</v>
      </c>
      <c r="C72" s="2" t="s">
        <v>216</v>
      </c>
      <c r="D72" s="2" t="n">
        <f aca="false">SUM('Données brutes'!$AZ$2:$AZ$46)</f>
        <v>15</v>
      </c>
      <c r="E72" s="5" t="n">
        <f aca="false">IFERROR(SUM('Données brutes'!$AZ$2:$AZ$46)/45,"")</f>
        <v>0.333333333333333</v>
      </c>
    </row>
    <row r="73" customFormat="false" ht="15" hidden="false" customHeight="false" outlineLevel="0" collapsed="false">
      <c r="A73" s="2"/>
      <c r="B73" s="2"/>
      <c r="C73" s="2"/>
      <c r="D73" s="2"/>
      <c r="E73" s="2"/>
    </row>
    <row r="74" customFormat="false" ht="23.85" hidden="false" customHeight="false" outlineLevel="0" collapsed="false">
      <c r="A74" s="2" t="s">
        <v>53</v>
      </c>
      <c r="B74" s="3" t="s">
        <v>384</v>
      </c>
      <c r="C74" s="2" t="s">
        <v>115</v>
      </c>
      <c r="D74" s="2" t="n">
        <f aca="false">COUNTIF('Données brutes'!$BB$2:$BB$46,"Jamais")</f>
        <v>11</v>
      </c>
      <c r="E74" s="5" t="n">
        <f aca="false">IFERROR(COUNTIF('Données brutes'!$BB$2:$BB$46,"Jamais")/COUNTA('Données brutes'!$BB$2:$BB$46),"")</f>
        <v>0.275</v>
      </c>
    </row>
    <row r="75" customFormat="false" ht="23.85" hidden="false" customHeight="false" outlineLevel="0" collapsed="false">
      <c r="A75" s="2" t="s">
        <v>53</v>
      </c>
      <c r="B75" s="3" t="s">
        <v>384</v>
      </c>
      <c r="C75" s="2" t="s">
        <v>135</v>
      </c>
      <c r="D75" s="2" t="n">
        <f aca="false">COUNTIF('Données brutes'!$BB$2:$BB$46,"1 à 2 fois")</f>
        <v>9</v>
      </c>
      <c r="E75" s="5" t="n">
        <f aca="false">IFERROR(COUNTIF('Données brutes'!$BB$2:$BB$46,"1 à 2 fois")/COUNTA('Données brutes'!$BB$2:$BB$46),"")</f>
        <v>0.225</v>
      </c>
    </row>
    <row r="76" customFormat="false" ht="23.85" hidden="false" customHeight="false" outlineLevel="0" collapsed="false">
      <c r="A76" s="2" t="s">
        <v>53</v>
      </c>
      <c r="B76" s="3" t="s">
        <v>384</v>
      </c>
      <c r="C76" s="2" t="s">
        <v>165</v>
      </c>
      <c r="D76" s="2" t="n">
        <f aca="false">COUNTIF('Données brutes'!$BB$2:$BB$46,"3 à 5 fois")</f>
        <v>5</v>
      </c>
      <c r="E76" s="5" t="n">
        <f aca="false">IFERROR(COUNTIF('Données brutes'!$BB$2:$BB$46,"3 à 5 fois")/COUNTA('Données brutes'!$BB$2:$BB$46),"")</f>
        <v>0.125</v>
      </c>
    </row>
    <row r="77" customFormat="false" ht="23.85" hidden="false" customHeight="false" outlineLevel="0" collapsed="false">
      <c r="A77" s="2" t="s">
        <v>53</v>
      </c>
      <c r="B77" s="3" t="s">
        <v>384</v>
      </c>
      <c r="C77" s="2" t="s">
        <v>217</v>
      </c>
      <c r="D77" s="2" t="n">
        <f aca="false">COUNTIF('Données brutes'!$BB$2:$BB$46,"Plus de 5 fois")</f>
        <v>15</v>
      </c>
      <c r="E77" s="5" t="n">
        <f aca="false">IFERROR(COUNTIF('Données brutes'!$BB$2:$BB$46,"Plus de 5 fois")/COUNTA('Données brutes'!$BB$2:$BB$46),"")</f>
        <v>0.375</v>
      </c>
    </row>
    <row r="78" customFormat="false" ht="15" hidden="false" customHeight="false" outlineLevel="0" collapsed="false">
      <c r="A78" s="2"/>
      <c r="B78" s="2"/>
      <c r="C78" s="2"/>
      <c r="D78" s="2"/>
      <c r="E78" s="2"/>
    </row>
    <row r="79" customFormat="false" ht="15" hidden="false" customHeight="false" outlineLevel="0" collapsed="false">
      <c r="A79" s="2" t="s">
        <v>78</v>
      </c>
      <c r="B79" s="3" t="s">
        <v>413</v>
      </c>
      <c r="C79" s="2" t="s">
        <v>115</v>
      </c>
      <c r="D79" s="2" t="n">
        <f aca="false">COUNTIF('Données brutes'!$CA$2:$CA$46,"Jamais")</f>
        <v>7</v>
      </c>
      <c r="E79" s="5" t="n">
        <f aca="false">IFERROR(COUNTIF('Données brutes'!$CA$2:$CA$46,"Jamais")/COUNTA('Données brutes'!$CA$2:$CA$46),"")</f>
        <v>0.159090909090909</v>
      </c>
    </row>
    <row r="80" customFormat="false" ht="15" hidden="false" customHeight="false" outlineLevel="0" collapsed="false">
      <c r="A80" s="2" t="s">
        <v>78</v>
      </c>
      <c r="B80" s="3" t="s">
        <v>413</v>
      </c>
      <c r="C80" s="2" t="s">
        <v>213</v>
      </c>
      <c r="D80" s="2" t="n">
        <f aca="false">COUNTIF('Données brutes'!$CA$2:$CA$46,"Rarement")</f>
        <v>8</v>
      </c>
      <c r="E80" s="5" t="n">
        <f aca="false">IFERROR(COUNTIF('Données brutes'!$CA$2:$CA$46,"Rarement")/COUNTA('Données brutes'!$CA$2:$CA$46),"")</f>
        <v>0.181818181818182</v>
      </c>
    </row>
    <row r="81" customFormat="false" ht="15" hidden="false" customHeight="false" outlineLevel="0" collapsed="false">
      <c r="A81" s="2" t="s">
        <v>78</v>
      </c>
      <c r="B81" s="3" t="s">
        <v>413</v>
      </c>
      <c r="C81" s="2" t="s">
        <v>116</v>
      </c>
      <c r="D81" s="2" t="n">
        <f aca="false">COUNTIF('Données brutes'!$CA$2:$CA$46,"Parfois")</f>
        <v>6</v>
      </c>
      <c r="E81" s="5" t="n">
        <f aca="false">IFERROR(COUNTIF('Données brutes'!$CA$2:$CA$46,"Parfois")/COUNTA('Données brutes'!$CA$2:$CA$46),"")</f>
        <v>0.136363636363636</v>
      </c>
    </row>
    <row r="82" customFormat="false" ht="15" hidden="false" customHeight="false" outlineLevel="0" collapsed="false">
      <c r="A82" s="2" t="s">
        <v>78</v>
      </c>
      <c r="B82" s="3" t="s">
        <v>413</v>
      </c>
      <c r="C82" s="2" t="s">
        <v>189</v>
      </c>
      <c r="D82" s="2" t="n">
        <f aca="false">COUNTIF('Données brutes'!$CA$2:$CA$46,"Souvent")</f>
        <v>12</v>
      </c>
      <c r="E82" s="5" t="n">
        <f aca="false">IFERROR(COUNTIF('Données brutes'!$CA$2:$CA$46,"Souvent")/COUNTA('Données brutes'!$CA$2:$CA$46),"")</f>
        <v>0.272727272727273</v>
      </c>
    </row>
    <row r="83" customFormat="false" ht="15" hidden="false" customHeight="false" outlineLevel="0" collapsed="false">
      <c r="A83" s="2" t="s">
        <v>78</v>
      </c>
      <c r="B83" s="3" t="s">
        <v>413</v>
      </c>
      <c r="C83" s="2" t="s">
        <v>136</v>
      </c>
      <c r="D83" s="2" t="n">
        <f aca="false">COUNTIF('Données brutes'!$CA$2:$CA$46,"Très souvent")</f>
        <v>11</v>
      </c>
      <c r="E83" s="5" t="n">
        <f aca="false">IFERROR(COUNTIF('Données brutes'!$CA$2:$CA$46,"Très souvent")/COUNTA('Données brutes'!$CA$2:$CA$46),"")</f>
        <v>0.25</v>
      </c>
    </row>
    <row r="84" customFormat="false" ht="15" hidden="false" customHeight="false" outlineLevel="0" collapsed="false">
      <c r="A84" s="2"/>
      <c r="B84" s="2"/>
      <c r="C84" s="2"/>
      <c r="D84" s="2"/>
      <c r="E84" s="2"/>
    </row>
    <row r="85" customFormat="false" ht="15" hidden="false" customHeight="false" outlineLevel="0" collapsed="false">
      <c r="A85" s="2" t="s">
        <v>83</v>
      </c>
      <c r="B85" s="3" t="s">
        <v>415</v>
      </c>
      <c r="C85" s="2" t="s">
        <v>229</v>
      </c>
      <c r="D85" s="2" t="n">
        <f aca="false">SUM('Données brutes'!$CB$2:$CB$46)</f>
        <v>17</v>
      </c>
      <c r="E85" s="5" t="n">
        <f aca="false">IFERROR(SUM('Données brutes'!$CB$2:$CB$46)/45,"")</f>
        <v>0.377777777777778</v>
      </c>
    </row>
    <row r="86" customFormat="false" ht="15" hidden="false" customHeight="false" outlineLevel="0" collapsed="false">
      <c r="A86" s="2" t="s">
        <v>83</v>
      </c>
      <c r="B86" s="3" t="s">
        <v>415</v>
      </c>
      <c r="C86" s="2" t="s">
        <v>117</v>
      </c>
      <c r="D86" s="2" t="n">
        <f aca="false">SUM('Données brutes'!$CC$2:$CC$46)</f>
        <v>21</v>
      </c>
      <c r="E86" s="5" t="n">
        <f aca="false">IFERROR(SUM('Données brutes'!$CC$2:$CC$46)/45,"")</f>
        <v>0.466666666666667</v>
      </c>
    </row>
    <row r="87" customFormat="false" ht="15" hidden="false" customHeight="false" outlineLevel="0" collapsed="false">
      <c r="A87" s="2" t="s">
        <v>83</v>
      </c>
      <c r="B87" s="3" t="s">
        <v>415</v>
      </c>
      <c r="C87" s="2" t="s">
        <v>137</v>
      </c>
      <c r="D87" s="2" t="n">
        <f aca="false">SUM('Données brutes'!$CD$2:$CD$46)</f>
        <v>20</v>
      </c>
      <c r="E87" s="5" t="n">
        <f aca="false">IFERROR(SUM('Données brutes'!$CD$2:$CD$46)/45,"")</f>
        <v>0.444444444444444</v>
      </c>
    </row>
    <row r="88" customFormat="false" ht="15" hidden="false" customHeight="false" outlineLevel="0" collapsed="false">
      <c r="A88" s="2" t="s">
        <v>83</v>
      </c>
      <c r="B88" s="3" t="s">
        <v>415</v>
      </c>
      <c r="C88" s="2" t="s">
        <v>166</v>
      </c>
      <c r="D88" s="2" t="n">
        <f aca="false">SUM('Données brutes'!$CE$2:$CE$46)</f>
        <v>11</v>
      </c>
      <c r="E88" s="5" t="n">
        <f aca="false">IFERROR(SUM('Données brutes'!$CE$2:$CE$46)/45,"")</f>
        <v>0.244444444444444</v>
      </c>
    </row>
    <row r="89" customFormat="false" ht="15" hidden="false" customHeight="false" outlineLevel="0" collapsed="false">
      <c r="A89" s="2"/>
      <c r="B89" s="2"/>
      <c r="C89" s="2"/>
      <c r="D89" s="2"/>
      <c r="E89" s="2"/>
    </row>
    <row r="90" customFormat="false" ht="15" hidden="false" customHeight="false" outlineLevel="0" collapsed="false">
      <c r="A90" s="2" t="s">
        <v>88</v>
      </c>
      <c r="B90" s="3" t="s">
        <v>422</v>
      </c>
      <c r="C90" s="2" t="s">
        <v>138</v>
      </c>
      <c r="D90" s="2" t="n">
        <f aca="false">COUNTIF('Données brutes'!$CK$2:$CK$46,"Présentiel pur")</f>
        <v>12</v>
      </c>
      <c r="E90" s="5" t="n">
        <f aca="false">IFERROR(COUNTIF('Données brutes'!$CK$2:$CK$46,"Présentiel pur")/COUNTA('Données brutes'!$CK$2:$CK$46),"")</f>
        <v>0.272727272727273</v>
      </c>
    </row>
    <row r="91" customFormat="false" ht="15" hidden="false" customHeight="false" outlineLevel="0" collapsed="false">
      <c r="A91" s="2" t="s">
        <v>88</v>
      </c>
      <c r="B91" s="3" t="s">
        <v>422</v>
      </c>
      <c r="C91" s="2" t="s">
        <v>118</v>
      </c>
      <c r="D91" s="2" t="n">
        <f aca="false">COUNTIF('Données brutes'!$CK$2:$CK$46,"À distance (en ligne)")</f>
        <v>7</v>
      </c>
      <c r="E91" s="5" t="n">
        <f aca="false">IFERROR(COUNTIF('Données brutes'!$CK$2:$CK$46,"À distance (en ligne)")/COUNTA('Données brutes'!$CK$2:$CK$46),"")</f>
        <v>0.159090909090909</v>
      </c>
    </row>
    <row r="92" customFormat="false" ht="15" hidden="false" customHeight="false" outlineLevel="0" collapsed="false">
      <c r="A92" s="2" t="s">
        <v>88</v>
      </c>
      <c r="B92" s="3" t="s">
        <v>422</v>
      </c>
      <c r="C92" s="2" t="s">
        <v>176</v>
      </c>
      <c r="D92" s="2" t="n">
        <f aca="false">COUNTIF('Données brutes'!$CK$2:$CK$46,"Mixte (présentiel + à distance)")</f>
        <v>16</v>
      </c>
      <c r="E92" s="5" t="n">
        <f aca="false">IFERROR(COUNTIF('Données brutes'!$CK$2:$CK$46,"Mixte (présentiel + à distance)")/COUNTA('Données brutes'!$CK$2:$CK$46),"")</f>
        <v>0.363636363636364</v>
      </c>
    </row>
    <row r="93" customFormat="false" ht="15" hidden="false" customHeight="false" outlineLevel="0" collapsed="false">
      <c r="A93" s="2" t="s">
        <v>88</v>
      </c>
      <c r="B93" s="3" t="s">
        <v>422</v>
      </c>
      <c r="C93" s="2" t="s">
        <v>167</v>
      </c>
      <c r="D93" s="2" t="n">
        <f aca="false">COUNTIF('Données brutes'!$CK$2:$CK$46,"Autre")</f>
        <v>9</v>
      </c>
      <c r="E93" s="5" t="n">
        <f aca="false">IFERROR(COUNTIF('Données brutes'!$CK$2:$CK$46,"Autre")/COUNTA('Données brutes'!$CK$2:$CK$46),"")</f>
        <v>0.204545454545455</v>
      </c>
    </row>
    <row r="94" customFormat="false" ht="15" hidden="false" customHeight="false" outlineLevel="0" collapsed="false">
      <c r="A94" s="2"/>
      <c r="B94" s="2"/>
      <c r="C94" s="2"/>
      <c r="D94" s="2"/>
      <c r="E94" s="2"/>
    </row>
    <row r="95" customFormat="false" ht="15" hidden="false" customHeight="false" outlineLevel="0" collapsed="false">
      <c r="A95" s="2" t="s">
        <v>89</v>
      </c>
      <c r="B95" s="3" t="s">
        <v>425</v>
      </c>
      <c r="C95" s="2" t="s">
        <v>154</v>
      </c>
      <c r="D95" s="2" t="n">
        <f aca="false">COUNTIF('Données brutes'!$CL$2:$CL$46,"Une journée complète")</f>
        <v>12</v>
      </c>
      <c r="E95" s="5" t="n">
        <f aca="false">IFERROR(COUNTIF('Données brutes'!$CL$2:$CL$46,"Une journée complète")/COUNTA('Données brutes'!$CL$2:$CL$46),"")</f>
        <v>0.272727272727273</v>
      </c>
    </row>
    <row r="96" customFormat="false" ht="15" hidden="false" customHeight="false" outlineLevel="0" collapsed="false">
      <c r="A96" s="2" t="s">
        <v>89</v>
      </c>
      <c r="B96" s="3" t="s">
        <v>425</v>
      </c>
      <c r="C96" s="2" t="s">
        <v>198</v>
      </c>
      <c r="D96" s="2" t="n">
        <f aca="false">COUNTIF('Données brutes'!$CL$2:$CL$46,"Deux jours consécutifs")</f>
        <v>12</v>
      </c>
      <c r="E96" s="5" t="n">
        <f aca="false">IFERROR(COUNTIF('Données brutes'!$CL$2:$CL$46,"Deux jours consécutifs")/COUNTA('Données brutes'!$CL$2:$CL$46),"")</f>
        <v>0.272727272727273</v>
      </c>
    </row>
    <row r="97" customFormat="false" ht="15" hidden="false" customHeight="false" outlineLevel="0" collapsed="false">
      <c r="A97" s="2" t="s">
        <v>89</v>
      </c>
      <c r="B97" s="3" t="s">
        <v>425</v>
      </c>
      <c r="C97" s="2" t="s">
        <v>119</v>
      </c>
      <c r="D97" s="2" t="n">
        <f aca="false">COUNTIF('Données brutes'!$CL$2:$CL$46,"Modules répartis sur plusieurs semaines")</f>
        <v>9</v>
      </c>
      <c r="E97" s="5" t="n">
        <f aca="false">IFERROR(COUNTIF('Données brutes'!$CL$2:$CL$46,"Modules répartis sur plusieurs semaines")/COUNTA('Données brutes'!$CL$2:$CL$46),"")</f>
        <v>0.204545454545455</v>
      </c>
    </row>
    <row r="98" customFormat="false" ht="15" hidden="false" customHeight="false" outlineLevel="0" collapsed="false">
      <c r="A98" s="2" t="s">
        <v>89</v>
      </c>
      <c r="B98" s="3" t="s">
        <v>425</v>
      </c>
      <c r="C98" s="2" t="s">
        <v>139</v>
      </c>
      <c r="D98" s="2" t="n">
        <f aca="false">COUNTIF('Données brutes'!$CL$2:$CL$46,"Formation longue (plusieurs semaines continues)")</f>
        <v>11</v>
      </c>
      <c r="E98" s="5" t="n">
        <f aca="false">IFERROR(COUNTIF('Données brutes'!$CL$2:$CL$46,"Formation longue (plusieurs semaines continues)")/COUNTA('Données brutes'!$CL$2:$CL$46),"")</f>
        <v>0.25</v>
      </c>
    </row>
    <row r="99" customFormat="false" ht="15" hidden="false" customHeight="false" outlineLevel="0" collapsed="false">
      <c r="A99" s="2"/>
      <c r="B99" s="2"/>
      <c r="C99" s="2"/>
      <c r="D99" s="2"/>
      <c r="E99" s="2"/>
    </row>
    <row r="100" customFormat="false" ht="15" hidden="false" customHeight="false" outlineLevel="0" collapsed="false">
      <c r="A100" s="2" t="s">
        <v>90</v>
      </c>
      <c r="B100" s="3" t="s">
        <v>427</v>
      </c>
      <c r="C100" s="2" t="s">
        <v>120</v>
      </c>
      <c r="D100" s="2" t="n">
        <f aca="false">COUNTIF('Données brutes'!$CM$2:$CM$46,"Oui, absolument")</f>
        <v>10</v>
      </c>
      <c r="E100" s="5" t="n">
        <f aca="false">IFERROR(COUNTIF('Données brutes'!$CM$2:$CM$46,"Oui, absolument")/COUNTA('Données brutes'!$CM$2:$CM$46),"")</f>
        <v>0.227272727272727</v>
      </c>
    </row>
    <row r="101" customFormat="false" ht="15" hidden="false" customHeight="false" outlineLevel="0" collapsed="false">
      <c r="A101" s="2" t="s">
        <v>90</v>
      </c>
      <c r="B101" s="3" t="s">
        <v>427</v>
      </c>
      <c r="C101" s="2" t="s">
        <v>177</v>
      </c>
      <c r="D101" s="2" t="n">
        <f aca="false">COUNTIF('Données brutes'!$CM$2:$CM$46,"Plutôt oui")</f>
        <v>7</v>
      </c>
      <c r="E101" s="5" t="n">
        <f aca="false">IFERROR(COUNTIF('Données brutes'!$CM$2:$CM$46,"Plutôt oui")/COUNTA('Données brutes'!$CM$2:$CM$46),"")</f>
        <v>0.159090909090909</v>
      </c>
    </row>
    <row r="102" customFormat="false" ht="15" hidden="false" customHeight="false" outlineLevel="0" collapsed="false">
      <c r="A102" s="2" t="s">
        <v>90</v>
      </c>
      <c r="B102" s="3" t="s">
        <v>427</v>
      </c>
      <c r="C102" s="2" t="s">
        <v>168</v>
      </c>
      <c r="D102" s="2" t="n">
        <f aca="false">COUNTIF('Données brutes'!$CM$2:$CM$46,"Indifférent")</f>
        <v>8</v>
      </c>
      <c r="E102" s="5" t="n">
        <f aca="false">IFERROR(COUNTIF('Données brutes'!$CM$2:$CM$46,"Indifférent")/COUNTA('Données brutes'!$CM$2:$CM$46),"")</f>
        <v>0.181818181818182</v>
      </c>
    </row>
    <row r="103" customFormat="false" ht="15" hidden="false" customHeight="false" outlineLevel="0" collapsed="false">
      <c r="A103" s="2" t="s">
        <v>90</v>
      </c>
      <c r="B103" s="3" t="s">
        <v>427</v>
      </c>
      <c r="C103" s="2" t="s">
        <v>205</v>
      </c>
      <c r="D103" s="2" t="n">
        <f aca="false">COUNTIF('Données brutes'!$CM$2:$CM$46,"Plutôt non")</f>
        <v>7</v>
      </c>
      <c r="E103" s="5" t="n">
        <f aca="false">IFERROR(COUNTIF('Données brutes'!$CM$2:$CM$46,"Plutôt non")/COUNTA('Données brutes'!$CM$2:$CM$46),"")</f>
        <v>0.159090909090909</v>
      </c>
    </row>
    <row r="104" customFormat="false" ht="15" hidden="false" customHeight="false" outlineLevel="0" collapsed="false">
      <c r="A104" s="2" t="s">
        <v>90</v>
      </c>
      <c r="B104" s="3" t="s">
        <v>427</v>
      </c>
      <c r="C104" s="2" t="s">
        <v>140</v>
      </c>
      <c r="D104" s="2" t="n">
        <f aca="false">COUNTIF('Données brutes'!$CM$2:$CM$46,"Non, pas nécessaire")</f>
        <v>12</v>
      </c>
      <c r="E104" s="5" t="n">
        <f aca="false">IFERROR(COUNTIF('Données brutes'!$CM$2:$CM$46,"Non, pas nécessaire")/COUNTA('Données brutes'!$CM$2:$CM$46),"")</f>
        <v>0.272727272727273</v>
      </c>
    </row>
    <row r="105" customFormat="false" ht="15" hidden="false" customHeight="false" outlineLevel="0" collapsed="false">
      <c r="A105" s="2"/>
      <c r="B105" s="2"/>
      <c r="C105" s="2"/>
      <c r="D105" s="2"/>
      <c r="E10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" t="s">
        <v>320</v>
      </c>
      <c r="B1" s="1" t="s">
        <v>467</v>
      </c>
      <c r="C1" s="1" t="s">
        <v>468</v>
      </c>
      <c r="D1" s="1" t="s">
        <v>446</v>
      </c>
      <c r="E1" s="1" t="s">
        <v>469</v>
      </c>
      <c r="F1" s="1" t="s">
        <v>470</v>
      </c>
    </row>
    <row r="2" customFormat="false" ht="15" hidden="false" customHeight="false" outlineLevel="0" collapsed="false">
      <c r="A2" s="2" t="s">
        <v>359</v>
      </c>
      <c r="B2" s="2" t="n">
        <v>3</v>
      </c>
      <c r="C2" s="4" t="n">
        <f aca="false">IFERROR(AVERAGE('Scores recodés'!$AT$2:$AT$46),"")</f>
        <v>3.04545454545455</v>
      </c>
      <c r="D2" s="4" t="n">
        <f aca="false">IFERROR(STDEV('Scores recodés'!$AT$2:$AT$46),"")</f>
        <v>0.736755755192345</v>
      </c>
      <c r="E2" s="2" t="n">
        <f aca="false">COUNT('Scores recodés'!$AT$2:$AT$46)</f>
        <v>22</v>
      </c>
      <c r="F2" s="2" t="n">
        <v>0.304</v>
      </c>
    </row>
    <row r="3" customFormat="false" ht="15" hidden="false" customHeight="false" outlineLevel="0" collapsed="false">
      <c r="A3" s="2" t="s">
        <v>365</v>
      </c>
      <c r="B3" s="2" t="n">
        <v>6</v>
      </c>
      <c r="C3" s="4" t="n">
        <f aca="false">IFERROR(AVERAGE('Scores recodés'!$AU$2:$AU$46),"")</f>
        <v>2.95888888888889</v>
      </c>
      <c r="D3" s="4" t="n">
        <f aca="false">IFERROR(STDEV('Scores recodés'!$AU$2:$AU$46),"")</f>
        <v>0.549191324686681</v>
      </c>
      <c r="E3" s="2" t="n">
        <f aca="false">COUNT('Scores recodés'!$AU$2:$AU$46)</f>
        <v>45</v>
      </c>
      <c r="F3" s="2" t="n">
        <v>0.101</v>
      </c>
    </row>
    <row r="4" customFormat="false" ht="15" hidden="false" customHeight="false" outlineLevel="0" collapsed="false">
      <c r="A4" s="2" t="s">
        <v>374</v>
      </c>
      <c r="B4" s="2" t="n">
        <v>7</v>
      </c>
      <c r="C4" s="4" t="n">
        <f aca="false">IFERROR(AVERAGE('Scores recodés'!$AV$2:$AV$46),"")</f>
        <v>3.12539682539683</v>
      </c>
      <c r="D4" s="4" t="n">
        <f aca="false">IFERROR(STDEV('Scores recodés'!$AV$2:$AV$46),"")</f>
        <v>0.499546279398387</v>
      </c>
      <c r="E4" s="2" t="n">
        <f aca="false">COUNT('Scores recodés'!$AV$2:$AV$46)</f>
        <v>45</v>
      </c>
      <c r="F4" s="2" t="n">
        <v>0.348</v>
      </c>
    </row>
    <row r="5" customFormat="false" ht="15" hidden="false" customHeight="false" outlineLevel="0" collapsed="false">
      <c r="A5" s="2" t="s">
        <v>382</v>
      </c>
      <c r="B5" s="2" t="n">
        <v>8</v>
      </c>
      <c r="C5" s="4" t="n">
        <f aca="false">IFERROR(AVERAGE('Scores recodés'!$AW$2:$AW$46),"")</f>
        <v>3.16269841269841</v>
      </c>
      <c r="D5" s="4" t="n">
        <f aca="false">IFERROR(STDEV('Scores recodés'!$AW$2:$AW$46),"")</f>
        <v>0.376095681656227</v>
      </c>
      <c r="E5" s="2" t="n">
        <f aca="false">COUNT('Scores recodés'!$AW$2:$AW$46)</f>
        <v>45</v>
      </c>
      <c r="F5" s="2" t="n">
        <v>-0.483</v>
      </c>
    </row>
    <row r="6" customFormat="false" ht="15" hidden="false" customHeight="false" outlineLevel="0" collapsed="false">
      <c r="A6" s="2" t="s">
        <v>395</v>
      </c>
      <c r="B6" s="2" t="n">
        <v>7</v>
      </c>
      <c r="C6" s="4" t="n">
        <f aca="false">IFERROR(AVERAGE('Scores recodés'!$AX$2:$AX$46),"")</f>
        <v>2.71164021164021</v>
      </c>
      <c r="D6" s="4" t="n">
        <f aca="false">IFERROR(STDEV('Scores recodés'!$AX$2:$AX$46),"")</f>
        <v>0.42431818732355</v>
      </c>
      <c r="E6" s="2" t="n">
        <f aca="false">COUNT('Scores recodés'!$AX$2:$AX$46)</f>
        <v>45</v>
      </c>
      <c r="F6" s="2" t="n">
        <v>-0.317</v>
      </c>
    </row>
    <row r="7" customFormat="false" ht="15" hidden="false" customHeight="false" outlineLevel="0" collapsed="false">
      <c r="A7" s="2" t="s">
        <v>403</v>
      </c>
      <c r="B7" s="2" t="n">
        <v>4</v>
      </c>
      <c r="C7" s="4" t="n">
        <f aca="false">IFERROR(AVERAGE('Scores recodés'!$AY$2:$AY$46),"")</f>
        <v>3.2962962962963</v>
      </c>
      <c r="D7" s="4" t="n">
        <f aca="false">IFERROR(STDEV('Scores recodés'!$AY$2:$AY$46),"")</f>
        <v>0.562550658649136</v>
      </c>
      <c r="E7" s="2" t="n">
        <f aca="false">COUNT('Scores recodés'!$AY$2:$AY$46)</f>
        <v>45</v>
      </c>
      <c r="F7" s="2" t="n">
        <v>-0.118</v>
      </c>
    </row>
    <row r="8" customFormat="false" ht="15" hidden="false" customHeight="false" outlineLevel="0" collapsed="false">
      <c r="A8" s="2" t="s">
        <v>408</v>
      </c>
      <c r="B8" s="2" t="n">
        <v>5</v>
      </c>
      <c r="C8" s="4" t="n">
        <f aca="false">IFERROR(AVERAGE('Scores recodés'!$AZ$2:$AZ$46),"")</f>
        <v>3.35666666666667</v>
      </c>
      <c r="D8" s="4" t="n">
        <f aca="false">IFERROR(STDEV('Scores recodés'!$AZ$2:$AZ$46),"")</f>
        <v>0.699886354411135</v>
      </c>
      <c r="E8" s="2" t="n">
        <f aca="false">COUNT('Scores recodés'!$AZ$2:$AZ$46)</f>
        <v>45</v>
      </c>
      <c r="F8" s="2" t="n">
        <v>0.337</v>
      </c>
    </row>
    <row r="9" customFormat="false" ht="15" hidden="false" customHeight="false" outlineLevel="0" collapsed="false">
      <c r="A9" s="2" t="s">
        <v>418</v>
      </c>
      <c r="B9" s="2" t="n">
        <v>4</v>
      </c>
      <c r="C9" s="4" t="n">
        <f aca="false">IFERROR(AVERAGE('Scores recodés'!$BA$2:$BA$46),"")</f>
        <v>3.22037037037037</v>
      </c>
      <c r="D9" s="4" t="n">
        <f aca="false">IFERROR(STDEV('Scores recodés'!$BA$2:$BA$46),"")</f>
        <v>0.597542197581067</v>
      </c>
      <c r="E9" s="2" t="n">
        <f aca="false">COUNT('Scores recodés'!$BA$2:$BA$46)</f>
        <v>45</v>
      </c>
      <c r="F9" s="2" t="n">
        <v>-0.025</v>
      </c>
    </row>
    <row r="11" customFormat="false" ht="15" hidden="false" customHeight="false" outlineLevel="0" collapsed="false">
      <c r="A11" s="6" t="s">
        <v>471</v>
      </c>
    </row>
    <row r="12" customFormat="false" ht="15" hidden="false" customHeight="false" outlineLevel="0" collapsed="false">
      <c r="A12" s="6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55"/>
  </cols>
  <sheetData>
    <row r="1" customFormat="false" ht="31.5" hidden="false" customHeight="true" outlineLevel="0" collapsed="false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</row>
    <row r="2" customFormat="false" ht="15" hidden="false" customHeight="false" outlineLevel="0" collapsed="false">
      <c r="A2" s="2" t="n">
        <v>1</v>
      </c>
      <c r="B2" s="7" t="s">
        <v>121</v>
      </c>
      <c r="C2" s="7"/>
      <c r="D2" s="7" t="s">
        <v>121</v>
      </c>
      <c r="E2" s="7" t="s">
        <v>122</v>
      </c>
    </row>
    <row r="3" customFormat="false" ht="15" hidden="false" customHeight="false" outlineLevel="0" collapsed="false">
      <c r="A3" s="2" t="n">
        <v>2</v>
      </c>
      <c r="B3" s="7"/>
      <c r="C3" s="7" t="s">
        <v>122</v>
      </c>
      <c r="D3" s="7" t="s">
        <v>122</v>
      </c>
      <c r="E3" s="7"/>
    </row>
    <row r="4" customFormat="false" ht="15" hidden="false" customHeight="false" outlineLevel="0" collapsed="false">
      <c r="A4" s="2" t="n">
        <v>3</v>
      </c>
      <c r="B4" s="7" t="s">
        <v>121</v>
      </c>
      <c r="C4" s="7" t="s">
        <v>122</v>
      </c>
      <c r="D4" s="7" t="s">
        <v>122</v>
      </c>
      <c r="E4" s="7" t="s">
        <v>122</v>
      </c>
    </row>
    <row r="5" customFormat="false" ht="15" hidden="false" customHeight="false" outlineLevel="0" collapsed="false">
      <c r="A5" s="2" t="n">
        <v>4</v>
      </c>
      <c r="B5" s="7"/>
      <c r="C5" s="7"/>
      <c r="D5" s="7" t="s">
        <v>121</v>
      </c>
      <c r="E5" s="7"/>
    </row>
    <row r="6" customFormat="false" ht="15" hidden="false" customHeight="false" outlineLevel="0" collapsed="false">
      <c r="A6" s="2" t="n">
        <v>5</v>
      </c>
      <c r="B6" s="7" t="s">
        <v>122</v>
      </c>
      <c r="C6" s="7"/>
      <c r="D6" s="7" t="s">
        <v>122</v>
      </c>
      <c r="E6" s="7" t="s">
        <v>122</v>
      </c>
    </row>
    <row r="7" customFormat="false" ht="15" hidden="false" customHeight="false" outlineLevel="0" collapsed="false">
      <c r="A7" s="2" t="n">
        <v>6</v>
      </c>
      <c r="B7" s="7" t="s">
        <v>122</v>
      </c>
      <c r="C7" s="7"/>
      <c r="D7" s="7"/>
      <c r="E7" s="7" t="s">
        <v>121</v>
      </c>
    </row>
    <row r="8" customFormat="false" ht="15" hidden="false" customHeight="false" outlineLevel="0" collapsed="false">
      <c r="A8" s="2" t="n">
        <v>7</v>
      </c>
      <c r="B8" s="7"/>
      <c r="C8" s="7" t="s">
        <v>121</v>
      </c>
      <c r="D8" s="7"/>
      <c r="E8" s="7"/>
    </row>
    <row r="9" customFormat="false" ht="15" hidden="false" customHeight="false" outlineLevel="0" collapsed="false">
      <c r="A9" s="2" t="n">
        <v>8</v>
      </c>
      <c r="B9" s="7" t="s">
        <v>122</v>
      </c>
      <c r="C9" s="7" t="s">
        <v>121</v>
      </c>
      <c r="D9" s="7"/>
      <c r="E9" s="7" t="s">
        <v>121</v>
      </c>
    </row>
    <row r="10" customFormat="false" ht="15" hidden="false" customHeight="false" outlineLevel="0" collapsed="false">
      <c r="A10" s="2" t="n">
        <v>9</v>
      </c>
      <c r="B10" s="7" t="s">
        <v>121</v>
      </c>
      <c r="C10" s="7"/>
      <c r="D10" s="7" t="s">
        <v>122</v>
      </c>
      <c r="E10" s="7"/>
    </row>
    <row r="11" customFormat="false" ht="15" hidden="false" customHeight="false" outlineLevel="0" collapsed="false">
      <c r="A11" s="2" t="n">
        <v>10</v>
      </c>
      <c r="B11" s="7" t="s">
        <v>121</v>
      </c>
      <c r="C11" s="7"/>
      <c r="D11" s="7"/>
      <c r="E11" s="7" t="s">
        <v>122</v>
      </c>
    </row>
    <row r="12" customFormat="false" ht="15" hidden="false" customHeight="false" outlineLevel="0" collapsed="false">
      <c r="A12" s="2" t="n">
        <v>11</v>
      </c>
      <c r="B12" s="7" t="s">
        <v>121</v>
      </c>
      <c r="C12" s="7" t="s">
        <v>121</v>
      </c>
      <c r="D12" s="7" t="s">
        <v>121</v>
      </c>
      <c r="E12" s="7" t="s">
        <v>121</v>
      </c>
    </row>
    <row r="13" customFormat="false" ht="15" hidden="false" customHeight="false" outlineLevel="0" collapsed="false">
      <c r="A13" s="2" t="n">
        <v>12</v>
      </c>
      <c r="B13" s="7" t="s">
        <v>121</v>
      </c>
      <c r="C13" s="7"/>
      <c r="D13" s="7"/>
      <c r="E13" s="7" t="s">
        <v>121</v>
      </c>
    </row>
    <row r="14" customFormat="false" ht="15" hidden="false" customHeight="false" outlineLevel="0" collapsed="false">
      <c r="A14" s="2" t="n">
        <v>13</v>
      </c>
      <c r="B14" s="7" t="s">
        <v>121</v>
      </c>
      <c r="C14" s="7" t="s">
        <v>122</v>
      </c>
      <c r="D14" s="7"/>
      <c r="E14" s="7" t="s">
        <v>122</v>
      </c>
    </row>
    <row r="15" customFormat="false" ht="15" hidden="false" customHeight="false" outlineLevel="0" collapsed="false">
      <c r="A15" s="2" t="n">
        <v>14</v>
      </c>
      <c r="B15" s="7" t="s">
        <v>121</v>
      </c>
      <c r="C15" s="7" t="s">
        <v>122</v>
      </c>
      <c r="D15" s="7" t="s">
        <v>122</v>
      </c>
      <c r="E15" s="7" t="s">
        <v>121</v>
      </c>
    </row>
    <row r="16" customFormat="false" ht="15" hidden="false" customHeight="false" outlineLevel="0" collapsed="false">
      <c r="A16" s="2" t="n">
        <v>15</v>
      </c>
      <c r="B16" s="7"/>
      <c r="C16" s="7"/>
      <c r="D16" s="7" t="s">
        <v>122</v>
      </c>
      <c r="E16" s="7"/>
    </row>
    <row r="17" customFormat="false" ht="15" hidden="false" customHeight="false" outlineLevel="0" collapsed="false">
      <c r="A17" s="2" t="n">
        <v>16</v>
      </c>
      <c r="B17" s="7"/>
      <c r="C17" s="7"/>
      <c r="D17" s="7" t="s">
        <v>121</v>
      </c>
      <c r="E17" s="7"/>
    </row>
    <row r="18" customFormat="false" ht="15" hidden="false" customHeight="false" outlineLevel="0" collapsed="false">
      <c r="A18" s="2" t="n">
        <v>17</v>
      </c>
      <c r="B18" s="7" t="s">
        <v>121</v>
      </c>
      <c r="C18" s="7" t="s">
        <v>122</v>
      </c>
      <c r="D18" s="7"/>
      <c r="E18" s="7" t="s">
        <v>122</v>
      </c>
    </row>
    <row r="19" customFormat="false" ht="15" hidden="false" customHeight="false" outlineLevel="0" collapsed="false">
      <c r="A19" s="2" t="n">
        <v>18</v>
      </c>
      <c r="B19" s="7" t="s">
        <v>121</v>
      </c>
      <c r="C19" s="7" t="s">
        <v>122</v>
      </c>
      <c r="D19" s="7" t="s">
        <v>121</v>
      </c>
      <c r="E19" s="7"/>
    </row>
    <row r="20" customFormat="false" ht="15" hidden="false" customHeight="false" outlineLevel="0" collapsed="false">
      <c r="A20" s="2" t="n">
        <v>19</v>
      </c>
      <c r="B20" s="7"/>
      <c r="C20" s="7"/>
      <c r="D20" s="7" t="s">
        <v>121</v>
      </c>
      <c r="E20" s="7" t="s">
        <v>121</v>
      </c>
    </row>
    <row r="21" customFormat="false" ht="15" hidden="false" customHeight="false" outlineLevel="0" collapsed="false">
      <c r="A21" s="2" t="n">
        <v>20</v>
      </c>
      <c r="B21" s="7"/>
      <c r="C21" s="7" t="s">
        <v>121</v>
      </c>
      <c r="D21" s="7" t="s">
        <v>121</v>
      </c>
      <c r="E21" s="7"/>
    </row>
    <row r="22" customFormat="false" ht="15" hidden="false" customHeight="false" outlineLevel="0" collapsed="false">
      <c r="A22" s="2" t="n">
        <v>21</v>
      </c>
      <c r="B22" s="7"/>
      <c r="C22" s="7" t="s">
        <v>122</v>
      </c>
      <c r="D22" s="7" t="s">
        <v>122</v>
      </c>
      <c r="E22" s="7"/>
    </row>
    <row r="23" customFormat="false" ht="15" hidden="false" customHeight="false" outlineLevel="0" collapsed="false">
      <c r="A23" s="2" t="n">
        <v>22</v>
      </c>
      <c r="B23" s="7"/>
      <c r="C23" s="7"/>
      <c r="D23" s="7" t="s">
        <v>122</v>
      </c>
      <c r="E23" s="7"/>
    </row>
    <row r="24" customFormat="false" ht="15" hidden="false" customHeight="false" outlineLevel="0" collapsed="false">
      <c r="A24" s="2" t="n">
        <v>23</v>
      </c>
      <c r="B24" s="7" t="s">
        <v>122</v>
      </c>
      <c r="C24" s="7" t="s">
        <v>122</v>
      </c>
      <c r="D24" s="7" t="s">
        <v>121</v>
      </c>
      <c r="E24" s="7"/>
    </row>
    <row r="25" customFormat="false" ht="15" hidden="false" customHeight="false" outlineLevel="0" collapsed="false">
      <c r="A25" s="2" t="n">
        <v>24</v>
      </c>
      <c r="B25" s="7" t="s">
        <v>121</v>
      </c>
      <c r="C25" s="7"/>
      <c r="D25" s="7" t="s">
        <v>122</v>
      </c>
      <c r="E25" s="7" t="s">
        <v>121</v>
      </c>
    </row>
    <row r="26" customFormat="false" ht="15" hidden="false" customHeight="false" outlineLevel="0" collapsed="false">
      <c r="A26" s="2" t="n">
        <v>25</v>
      </c>
      <c r="B26" s="7" t="s">
        <v>122</v>
      </c>
      <c r="C26" s="7" t="s">
        <v>122</v>
      </c>
      <c r="D26" s="7" t="s">
        <v>121</v>
      </c>
      <c r="E26" s="7" t="s">
        <v>121</v>
      </c>
    </row>
    <row r="27" customFormat="false" ht="15" hidden="false" customHeight="false" outlineLevel="0" collapsed="false">
      <c r="A27" s="2" t="n">
        <v>26</v>
      </c>
      <c r="B27" s="7" t="s">
        <v>122</v>
      </c>
      <c r="C27" s="7" t="s">
        <v>122</v>
      </c>
      <c r="D27" s="7" t="s">
        <v>122</v>
      </c>
      <c r="E27" s="7"/>
    </row>
    <row r="28" customFormat="false" ht="15" hidden="false" customHeight="false" outlineLevel="0" collapsed="false">
      <c r="A28" s="2" t="n">
        <v>27</v>
      </c>
      <c r="B28" s="7" t="s">
        <v>121</v>
      </c>
      <c r="C28" s="7" t="s">
        <v>122</v>
      </c>
      <c r="D28" s="7"/>
      <c r="E28" s="7" t="s">
        <v>122</v>
      </c>
    </row>
    <row r="29" customFormat="false" ht="15" hidden="false" customHeight="false" outlineLevel="0" collapsed="false">
      <c r="A29" s="2" t="n">
        <v>28</v>
      </c>
      <c r="B29" s="7"/>
      <c r="C29" s="7" t="s">
        <v>121</v>
      </c>
      <c r="D29" s="7"/>
      <c r="E29" s="7" t="s">
        <v>121</v>
      </c>
    </row>
    <row r="30" customFormat="false" ht="15" hidden="false" customHeight="false" outlineLevel="0" collapsed="false">
      <c r="A30" s="2" t="n">
        <v>29</v>
      </c>
      <c r="B30" s="7" t="s">
        <v>121</v>
      </c>
      <c r="C30" s="7" t="s">
        <v>122</v>
      </c>
      <c r="D30" s="7" t="s">
        <v>121</v>
      </c>
      <c r="E30" s="7"/>
    </row>
    <row r="31" customFormat="false" ht="15" hidden="false" customHeight="false" outlineLevel="0" collapsed="false">
      <c r="A31" s="2" t="n">
        <v>30</v>
      </c>
      <c r="B31" s="7"/>
      <c r="C31" s="7" t="s">
        <v>122</v>
      </c>
      <c r="D31" s="7"/>
      <c r="E31" s="7" t="s">
        <v>122</v>
      </c>
    </row>
    <row r="32" customFormat="false" ht="15" hidden="false" customHeight="false" outlineLevel="0" collapsed="false">
      <c r="A32" s="2" t="n">
        <v>31</v>
      </c>
      <c r="B32" s="7"/>
      <c r="C32" s="7" t="s">
        <v>122</v>
      </c>
      <c r="D32" s="7"/>
      <c r="E32" s="7" t="s">
        <v>122</v>
      </c>
    </row>
    <row r="33" customFormat="false" ht="15" hidden="false" customHeight="false" outlineLevel="0" collapsed="false">
      <c r="A33" s="2" t="n">
        <v>32</v>
      </c>
      <c r="B33" s="7" t="s">
        <v>122</v>
      </c>
      <c r="C33" s="7" t="s">
        <v>122</v>
      </c>
      <c r="D33" s="7"/>
      <c r="E33" s="7" t="s">
        <v>121</v>
      </c>
    </row>
    <row r="34" customFormat="false" ht="15" hidden="false" customHeight="false" outlineLevel="0" collapsed="false">
      <c r="A34" s="2" t="n">
        <v>33</v>
      </c>
      <c r="B34" s="7" t="s">
        <v>121</v>
      </c>
      <c r="C34" s="7" t="s">
        <v>122</v>
      </c>
      <c r="D34" s="7"/>
      <c r="E34" s="7" t="s">
        <v>121</v>
      </c>
    </row>
    <row r="35" customFormat="false" ht="15" hidden="false" customHeight="false" outlineLevel="0" collapsed="false">
      <c r="A35" s="2" t="n">
        <v>34</v>
      </c>
      <c r="B35" s="7"/>
      <c r="C35" s="7"/>
      <c r="D35" s="7" t="s">
        <v>122</v>
      </c>
      <c r="E35" s="7" t="s">
        <v>121</v>
      </c>
    </row>
    <row r="36" customFormat="false" ht="15" hidden="false" customHeight="false" outlineLevel="0" collapsed="false">
      <c r="A36" s="2" t="n">
        <v>35</v>
      </c>
      <c r="B36" s="7" t="s">
        <v>121</v>
      </c>
      <c r="C36" s="7" t="s">
        <v>121</v>
      </c>
      <c r="D36" s="7" t="s">
        <v>122</v>
      </c>
      <c r="E36" s="7"/>
    </row>
    <row r="37" customFormat="false" ht="15" hidden="false" customHeight="false" outlineLevel="0" collapsed="false">
      <c r="A37" s="2" t="n">
        <v>36</v>
      </c>
      <c r="B37" s="7" t="s">
        <v>121</v>
      </c>
      <c r="C37" s="7" t="s">
        <v>121</v>
      </c>
      <c r="D37" s="7" t="s">
        <v>122</v>
      </c>
      <c r="E37" s="7"/>
    </row>
    <row r="38" customFormat="false" ht="15" hidden="false" customHeight="false" outlineLevel="0" collapsed="false">
      <c r="A38" s="2" t="n">
        <v>37</v>
      </c>
      <c r="B38" s="7"/>
      <c r="C38" s="7" t="s">
        <v>121</v>
      </c>
      <c r="D38" s="7" t="s">
        <v>121</v>
      </c>
      <c r="E38" s="7"/>
    </row>
    <row r="39" customFormat="false" ht="15" hidden="false" customHeight="false" outlineLevel="0" collapsed="false">
      <c r="A39" s="2" t="n">
        <v>38</v>
      </c>
      <c r="B39" s="7"/>
      <c r="C39" s="7"/>
      <c r="D39" s="7" t="s">
        <v>122</v>
      </c>
      <c r="E39" s="7" t="s">
        <v>121</v>
      </c>
    </row>
    <row r="40" customFormat="false" ht="15" hidden="false" customHeight="false" outlineLevel="0" collapsed="false">
      <c r="A40" s="2" t="n">
        <v>39</v>
      </c>
      <c r="B40" s="7"/>
      <c r="C40" s="7" t="s">
        <v>121</v>
      </c>
      <c r="D40" s="7" t="s">
        <v>122</v>
      </c>
      <c r="E40" s="7" t="s">
        <v>122</v>
      </c>
    </row>
    <row r="41" customFormat="false" ht="15" hidden="false" customHeight="false" outlineLevel="0" collapsed="false">
      <c r="A41" s="2" t="n">
        <v>40</v>
      </c>
      <c r="B41" s="7"/>
      <c r="C41" s="7" t="s">
        <v>122</v>
      </c>
      <c r="D41" s="7" t="s">
        <v>122</v>
      </c>
      <c r="E41" s="7"/>
    </row>
    <row r="42" customFormat="false" ht="15" hidden="false" customHeight="false" outlineLevel="0" collapsed="false">
      <c r="A42" s="2" t="n">
        <v>41</v>
      </c>
      <c r="B42" s="7"/>
      <c r="C42" s="7" t="s">
        <v>121</v>
      </c>
      <c r="D42" s="7" t="s">
        <v>122</v>
      </c>
      <c r="E42" s="7" t="s">
        <v>121</v>
      </c>
    </row>
    <row r="43" customFormat="false" ht="15" hidden="false" customHeight="false" outlineLevel="0" collapsed="false">
      <c r="A43" s="2" t="n">
        <v>42</v>
      </c>
      <c r="B43" s="7" t="s">
        <v>121</v>
      </c>
      <c r="C43" s="7" t="s">
        <v>122</v>
      </c>
      <c r="D43" s="7" t="s">
        <v>121</v>
      </c>
      <c r="E43" s="7" t="s">
        <v>122</v>
      </c>
    </row>
    <row r="44" customFormat="false" ht="15" hidden="false" customHeight="false" outlineLevel="0" collapsed="false">
      <c r="A44" s="2" t="n">
        <v>43</v>
      </c>
      <c r="B44" s="7" t="s">
        <v>122</v>
      </c>
      <c r="C44" s="7" t="s">
        <v>122</v>
      </c>
      <c r="D44" s="7"/>
      <c r="E44" s="7"/>
    </row>
    <row r="45" customFormat="false" ht="15" hidden="false" customHeight="false" outlineLevel="0" collapsed="false">
      <c r="A45" s="2" t="n">
        <v>44</v>
      </c>
      <c r="B45" s="7" t="s">
        <v>121</v>
      </c>
      <c r="C45" s="7" t="s">
        <v>121</v>
      </c>
      <c r="D45" s="7"/>
      <c r="E45" s="7" t="s">
        <v>121</v>
      </c>
    </row>
    <row r="46" customFormat="false" ht="15" hidden="false" customHeight="false" outlineLevel="0" collapsed="false">
      <c r="A46" s="2" t="n">
        <v>45</v>
      </c>
      <c r="B46" s="7"/>
      <c r="C46" s="7" t="s">
        <v>121</v>
      </c>
      <c r="D46" s="7" t="s">
        <v>121</v>
      </c>
      <c r="E46" s="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1" t="s">
        <v>473</v>
      </c>
      <c r="B1" s="1" t="s">
        <v>474</v>
      </c>
      <c r="C1" s="1" t="s">
        <v>475</v>
      </c>
    </row>
    <row r="2" customFormat="false" ht="15" hidden="false" customHeight="false" outlineLevel="0" collapsed="false">
      <c r="A2" s="2" t="s">
        <v>476</v>
      </c>
      <c r="B2" s="2" t="n">
        <v>0</v>
      </c>
      <c r="C2" s="3"/>
    </row>
    <row r="3" customFormat="false" ht="15" hidden="false" customHeight="false" outlineLevel="0" collapsed="false">
      <c r="A3" s="2" t="s">
        <v>477</v>
      </c>
      <c r="B3" s="2" t="n">
        <v>0</v>
      </c>
      <c r="C3" s="3"/>
    </row>
    <row r="4" customFormat="false" ht="15" hidden="false" customHeight="false" outlineLevel="0" collapsed="false">
      <c r="A4" s="2" t="s">
        <v>478</v>
      </c>
      <c r="B4" s="8" t="n">
        <v>23</v>
      </c>
      <c r="C4" s="3" t="s">
        <v>479</v>
      </c>
    </row>
    <row r="5" customFormat="false" ht="15" hidden="false" customHeight="false" outlineLevel="0" collapsed="false">
      <c r="A5" s="2" t="s">
        <v>480</v>
      </c>
      <c r="B5" s="8" t="n">
        <v>22</v>
      </c>
      <c r="C5" s="3" t="s">
        <v>481</v>
      </c>
    </row>
    <row r="6" customFormat="false" ht="15" hidden="false" customHeight="false" outlineLevel="0" collapsed="false">
      <c r="A6" s="2" t="s">
        <v>482</v>
      </c>
      <c r="B6" s="8" t="n">
        <v>13</v>
      </c>
      <c r="C6" s="3" t="s">
        <v>483</v>
      </c>
    </row>
    <row r="7" customFormat="false" ht="15" hidden="false" customHeight="false" outlineLevel="0" collapsed="false">
      <c r="A7" s="2" t="s">
        <v>484</v>
      </c>
      <c r="B7" s="8" t="n">
        <v>9</v>
      </c>
      <c r="C7" s="3" t="s">
        <v>485</v>
      </c>
    </row>
    <row r="8" customFormat="false" ht="15" hidden="false" customHeight="false" outlineLevel="0" collapsed="false">
      <c r="A8" s="2" t="s">
        <v>486</v>
      </c>
      <c r="B8" s="2" t="n">
        <v>0</v>
      </c>
      <c r="C8" s="3"/>
    </row>
    <row r="9" customFormat="false" ht="15" hidden="false" customHeight="false" outlineLevel="0" collapsed="false">
      <c r="A9" s="2" t="s">
        <v>487</v>
      </c>
      <c r="B9" s="8" t="n">
        <v>28</v>
      </c>
      <c r="C9" s="3" t="s">
        <v>488</v>
      </c>
    </row>
    <row r="10" customFormat="false" ht="23.85" hidden="false" customHeight="false" outlineLevel="0" collapsed="false">
      <c r="A10" s="2" t="s">
        <v>489</v>
      </c>
      <c r="B10" s="8" t="n">
        <v>45</v>
      </c>
      <c r="C10" s="3" t="s">
        <v>490</v>
      </c>
    </row>
    <row r="12" customFormat="false" ht="15" hidden="false" customHeight="false" outlineLevel="0" collapsed="false">
      <c r="A12" s="0" t="s">
        <v>491</v>
      </c>
    </row>
    <row r="13" customFormat="false" ht="15" hidden="false" customHeight="false" outlineLevel="0" collapsed="false">
      <c r="A13" s="0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2026-09-11T09:16:37Z</dcterms:created>
  <dc:creator>openpyxl</dc:creator>
  <dc:description/>
  <dc:language>en-US</dc:language>
  <cp:lastModifiedBy/>
  <dcterms:modified xsi:type="dcterms:W3CDTF">2026-09-11T09:16:44Z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